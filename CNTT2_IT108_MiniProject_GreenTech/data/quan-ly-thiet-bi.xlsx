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b0424bdeb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g-thai-tram" sheetId="1" r:id="R79358d750d6b4300"/>
    <x:sheet xmlns:r="http://schemas.openxmlformats.org/officeDocument/2006/relationships" name="danh-muc-linh-kien" sheetId="2" r:id="Rdda5157582ff4903"/>
    <x:sheet xmlns:r="http://schemas.openxmlformats.org/officeDocument/2006/relationships" name="tinh-tai-log" sheetId="3" r:id="Rbf2488003b48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&quot; VND&quot;"/>
    <x:numFmt numFmtId="202" formatCode="0.00"/>
    <x:numFmt numFmtId="203" formatCode="0%"/>
  </x:numFmts>
  <x:fonts count="6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D4ED8"/>
      <x:name val="Arial"/>
    </x:font>
    <x:font>
      <x:sz val="11"/>
      <x:color rgb="FF111827"/>
      <x:name val="Arial"/>
    </x:font>
    <x:font>
      <x:b/>
      <x:sz val="14"/>
      <x:color rgb="FF14532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4E63"/>
      </x:patternFill>
    </x:fill>
    <x:fill>
      <x:patternFill patternType="solid">
        <x:fgColor rgb="FFDCFCE7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378919f7244c60" /><Relationship Type="http://schemas.openxmlformats.org/officeDocument/2006/relationships/theme" Target="/xl/theme/theme1.xml" Id="R2df8cff213ab46f3" /><Relationship Type="http://schemas.openxmlformats.org/officeDocument/2006/relationships/sharedStrings" Target="/xl/sharedStrings.xml" Id="Ra823902297d4492a" /><Relationship Type="http://schemas.openxmlformats.org/officeDocument/2006/relationships/worksheet" Target="/xl/worksheets/sheet1.xml" Id="R79358d750d6b4300" /><Relationship Type="http://schemas.openxmlformats.org/officeDocument/2006/relationships/worksheet" Target="/xl/worksheets/sheet2.xml" Id="Rdda5157582ff4903" /><Relationship Type="http://schemas.openxmlformats.org/officeDocument/2006/relationships/worksheet" Target="/xl/worksheets/sheet3.xml" Id="Rbf2488003b484671" /></Relationships>
</file>

<file path=xl/tables/table1.xml><?xml version="1.0" encoding="utf-8"?>
<x:table xmlns:x="http://schemas.openxmlformats.org/spreadsheetml/2006/main" id="2" name="TrangThaiTram" displayName="TrangThaiTram" ref="A1:I301" headerRowCount="1" totalsRowCount="0" totalsRowShown="0">
  <x:autoFilter ref="A1:I301"/>
  <x:tableColumns count="9">
    <x:tableColumn id="1" name="ma_tram"/>
    <x:tableColumn id="2" name="ma_linh_kien"/>
    <x:tableColumn id="3" name="dung_luong_ram"/>
    <x:tableColumn id="4" name="ngay_lap_dat"/>
    <x:tableColumn id="5" name="ma_linh_kien_sach"/>
    <x:tableColumn id="6" name="ten_thiet_bi"/>
    <x:tableColumn id="7" name="don_gia"/>
    <x:tableColumn id="8" name="loai_storage"/>
    <x:tableColumn id="9" name="so_ma_kho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DanhMucLinhKien" displayName="DanhMucLinhKien" ref="A1:D9" headerRowCount="1" totalsRowCount="0" totalsRowShown="0">
  <x:autoFilter ref="A1:D9"/>
  <x:tableColumns count="4">
    <x:tableColumn id="1" name="ma_linh_kien"/>
    <x:tableColumn id="2" name="ten_thiet_bi"/>
    <x:tableColumn id="3" name="don_gia"/>
    <x:tableColumn id="4" name="loai_stor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23c70e5d28483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9df2a0e1b9f44d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9" hidden="0" customWidth="1"/>
    <x:col min="4" max="4" width="18" hidden="0" customWidth="1"/>
    <x:col min="5" max="5" width="23" hidden="0" customWidth="1"/>
    <x:col min="6" max="6" width="32" hidden="0" customWidth="1"/>
    <x:col min="7" max="7" width="16" hidden="0" customWidth="1"/>
    <x:col min="8" max="8" width="23" hidden="0" customWidth="1"/>
    <x:col min="9" max="9" width="16" hidden="0" customWidth="1"/>
  </x:cols>
  <x:sheetData>
    <x:row r="1" ht="42" customHeight="1">
      <x:c r="A1" s="6" t="str">
        <x:v>ma_tram</x:v>
      </x:c>
      <x:c r="B1" s="6" t="str">
        <x:v>ma_linh_kien</x:v>
      </x:c>
      <x:c r="C1" s="6" t="str">
        <x:v>dung_luong_ram</x:v>
      </x:c>
      <x:c r="D1" s="6" t="str">
        <x:v>ngay_lap_dat</x:v>
      </x:c>
      <x:c r="E1" s="6" t="str">
        <x:v>ma_linh_kien_sach</x:v>
      </x:c>
      <x:c r="F1" s="6" t="str">
        <x:v>ten_thiet_bi</x:v>
      </x:c>
      <x:c r="G1" s="6" t="str">
        <x:v>don_gia</x:v>
      </x:c>
      <x:c r="H1" s="6" t="str">
        <x:v>loai_storage</x:v>
      </x:c>
      <x:c r="I1" s="6" t="str">
        <x:v>so_ma_khop</x:v>
      </x:c>
    </x:row>
    <x:row r="2" ht="25" customHeight="1">
      <x:c r="A2" s="9" t="str">
        <x:v>TRAM001</x:v>
      </x:c>
      <x:c r="B2" s="9" t="str">
        <x:v>CPU002</x:v>
      </x:c>
      <x:c r="C2" s="9" t="n">
        <x:v>16</x:v>
      </x:c>
      <x:c r="D2" s="10" t="n">
        <x:v>46296</x:v>
      </x:c>
      <x:c r="E2" s="11" t="str">
        <x:f>TRIM(B2)</x:f>
        <x:v>CPU002</x:v>
      </x:c>
      <x:c r="F2" s="11" t="str">
        <x:f>VLOOKUP(E2,'danh-muc-linh-kien'!$A$2:$D$9,2,FALSE)</x:f>
        <x:v>CPU AMD Ryzen 5 5600</x:v>
      </x:c>
      <x:c r="G2" s="12" t="n">
        <x:f>VLOOKUP(E2,'danh-muc-linh-kien'!$A$2:$D$9,3,FALSE)</x:f>
        <x:v>2800000</x:v>
      </x:c>
      <x:c r="H2" s="11" t="str">
        <x:f>VLOOKUP(E2,'danh-muc-linh-kien'!$A$2:$D$9,4,FALSE)</x:f>
        <x:v>Khong ap dung</x:v>
      </x:c>
      <x:c r="I2" s="11" t="n">
        <x:f>COUNTIFS('danh-muc-linh-kien'!$A$2:$A$9,E2)</x:f>
        <x:v>1</x:v>
      </x:c>
    </x:row>
    <x:row r="3" ht="25" customHeight="1">
      <x:c r="A3" s="9" t="str">
        <x:v>TRAM001</x:v>
      </x:c>
      <x:c r="B3" s="9" t="str">
        <x:v>RAM002</x:v>
      </x:c>
      <x:c r="C3" s="9" t="n">
        <x:v>16</x:v>
      </x:c>
      <x:c r="D3" s="10" t="n">
        <x:v>46296</x:v>
      </x:c>
      <x:c r="E3" s="11" t="str">
        <x:f>TRIM(B3)</x:f>
        <x:v>RAM002</x:v>
      </x:c>
      <x:c r="F3" s="11" t="str">
        <x:f>VLOOKUP(E3,'danh-muc-linh-kien'!$A$2:$D$9,2,FALSE)</x:f>
        <x:v>RAM DDR4 16 GB</x:v>
      </x:c>
      <x:c r="G3" s="12" t="n">
        <x:f>VLOOKUP(E3,'danh-muc-linh-kien'!$A$2:$D$9,3,FALSE)</x:f>
        <x:v>850000</x:v>
      </x:c>
      <x:c r="H3" s="11" t="str">
        <x:f>VLOOKUP(E3,'danh-muc-linh-kien'!$A$2:$D$9,4,FALSE)</x:f>
        <x:v>Khong ap dung</x:v>
      </x:c>
      <x:c r="I3" s="11" t="n">
        <x:f>COUNTIFS('danh-muc-linh-kien'!$A$2:$A$9,E3)</x:f>
        <x:v>1</x:v>
      </x:c>
    </x:row>
    <x:row r="4" ht="25" customHeight="1">
      <x:c r="A4" s="9" t="str">
        <x:v>TRAM001</x:v>
      </x:c>
      <x:c r="B4" s="9" t="str">
        <x:v>SSD001</x:v>
      </x:c>
      <x:c r="C4" s="9" t="n">
        <x:v>16</x:v>
      </x:c>
      <x:c r="D4" s="10" t="n">
        <x:v>46296</x:v>
      </x:c>
      <x:c r="E4" s="11" t="str">
        <x:f>TRIM(B4)</x:f>
        <x:v>SSD001</x:v>
      </x:c>
      <x:c r="F4" s="11" t="str">
        <x:f>VLOOKUP(E4,'danh-muc-linh-kien'!$A$2:$D$9,2,FALSE)</x:f>
        <x:v>SSD SATA 256 GB</x:v>
      </x:c>
      <x:c r="G4" s="12" t="n">
        <x:f>VLOOKUP(E4,'danh-muc-linh-kien'!$A$2:$D$9,3,FALSE)</x:f>
        <x:v>500000</x:v>
      </x:c>
      <x:c r="H4" s="11" t="str">
        <x:f>VLOOKUP(E4,'danh-muc-linh-kien'!$A$2:$D$9,4,FALSE)</x:f>
        <x:v>SSD</x:v>
      </x:c>
      <x:c r="I4" s="11" t="n">
        <x:f>COUNTIFS('danh-muc-linh-kien'!$A$2:$A$9,E4)</x:f>
        <x:v>1</x:v>
      </x:c>
    </x:row>
    <x:row r="5" ht="25" customHeight="1">
      <x:c r="A5" s="9" t="str">
        <x:v>TRAM002</x:v>
      </x:c>
      <x:c r="B5" s="9" t="str">
        <x:v>CPU001</x:v>
      </x:c>
      <x:c r="C5" s="9" t="n">
        <x:v>8</x:v>
      </x:c>
      <x:c r="D5" s="10" t="n">
        <x:v>46296</x:v>
      </x:c>
      <x:c r="E5" s="11" t="str">
        <x:f>TRIM(B5)</x:f>
        <x:v>CPU001</x:v>
      </x:c>
      <x:c r="F5" s="11" t="str">
        <x:f>VLOOKUP(E5,'danh-muc-linh-kien'!$A$2:$D$9,2,FALSE)</x:f>
        <x:v>CPU Intel Core i5 12400</x:v>
      </x:c>
      <x:c r="G5" s="12" t="n">
        <x:f>VLOOKUP(E5,'danh-muc-linh-kien'!$A$2:$D$9,3,FALSE)</x:f>
        <x:v>3500000</x:v>
      </x:c>
      <x:c r="H5" s="11" t="str">
        <x:f>VLOOKUP(E5,'danh-muc-linh-kien'!$A$2:$D$9,4,FALSE)</x:f>
        <x:v>Khong ap dung</x:v>
      </x:c>
      <x:c r="I5" s="11" t="n">
        <x:f>COUNTIFS('danh-muc-linh-kien'!$A$2:$A$9,E5)</x:f>
        <x:v>1</x:v>
      </x:c>
    </x:row>
    <x:row r="6" ht="25" customHeight="1">
      <x:c r="A6" s="9" t="str">
        <x:v>TRAM002</x:v>
      </x:c>
      <x:c r="B6" s="9" t="str">
        <x:v>RAM001</x:v>
      </x:c>
      <x:c r="C6" s="9" t="n">
        <x:v>8</x:v>
      </x:c>
      <x:c r="D6" s="10" t="n">
        <x:v>46296</x:v>
      </x:c>
      <x:c r="E6" s="11" t="str">
        <x:f>TRIM(B6)</x:f>
        <x:v>RAM001</x:v>
      </x:c>
      <x:c r="F6" s="11" t="str">
        <x:f>VLOOKUP(E6,'danh-muc-linh-kien'!$A$2:$D$9,2,FALSE)</x:f>
        <x:v>RAM DDR4 8 GB</x:v>
      </x:c>
      <x:c r="G6" s="12" t="n">
        <x:f>VLOOKUP(E6,'danh-muc-linh-kien'!$A$2:$D$9,3,FALSE)</x:f>
        <x:v>450000</x:v>
      </x:c>
      <x:c r="H6" s="11" t="str">
        <x:f>VLOOKUP(E6,'danh-muc-linh-kien'!$A$2:$D$9,4,FALSE)</x:f>
        <x:v>Khong ap dung</x:v>
      </x:c>
      <x:c r="I6" s="11" t="n">
        <x:f>COUNTIFS('danh-muc-linh-kien'!$A$2:$A$9,E6)</x:f>
        <x:v>1</x:v>
      </x:c>
    </x:row>
    <x:row r="7" ht="25" customHeight="1">
      <x:c r="A7" s="9" t="str">
        <x:v>TRAM002</x:v>
      </x:c>
      <x:c r="B7" s="9" t="str">
        <x:v>SSD002</x:v>
      </x:c>
      <x:c r="C7" s="9" t="n">
        <x:v>8</x:v>
      </x:c>
      <x:c r="D7" s="10" t="n">
        <x:v>46296</x:v>
      </x:c>
      <x:c r="E7" s="11" t="str">
        <x:f>TRIM(B7)</x:f>
        <x:v>SSD002</x:v>
      </x:c>
      <x:c r="F7" s="11" t="str">
        <x:f>VLOOKUP(E7,'danh-muc-linh-kien'!$A$2:$D$9,2,FALSE)</x:f>
        <x:v>SSD NVMe 512 GB</x:v>
      </x:c>
      <x:c r="G7" s="12" t="n">
        <x:f>VLOOKUP(E7,'danh-muc-linh-kien'!$A$2:$D$9,3,FALSE)</x:f>
        <x:v>900000</x:v>
      </x:c>
      <x:c r="H7" s="11" t="str">
        <x:f>VLOOKUP(E7,'danh-muc-linh-kien'!$A$2:$D$9,4,FALSE)</x:f>
        <x:v>SSD</x:v>
      </x:c>
      <x:c r="I7" s="11" t="n">
        <x:f>COUNTIFS('danh-muc-linh-kien'!$A$2:$A$9,E7)</x:f>
        <x:v>1</x:v>
      </x:c>
    </x:row>
    <x:row r="8" ht="25" customHeight="1">
      <x:c r="A8" s="9" t="str">
        <x:v>TRAM003</x:v>
      </x:c>
      <x:c r="B8" s="9" t="str">
        <x:v>CPU002</x:v>
      </x:c>
      <x:c r="C8" s="9" t="n">
        <x:v>16</x:v>
      </x:c>
      <x:c r="D8" s="10" t="n">
        <x:v>46296</x:v>
      </x:c>
      <x:c r="E8" s="11" t="str">
        <x:f>TRIM(B8)</x:f>
        <x:v>CPU002</x:v>
      </x:c>
      <x:c r="F8" s="11" t="str">
        <x:f>VLOOKUP(E8,'danh-muc-linh-kien'!$A$2:$D$9,2,FALSE)</x:f>
        <x:v>CPU AMD Ryzen 5 5600</x:v>
      </x:c>
      <x:c r="G8" s="12" t="n">
        <x:f>VLOOKUP(E8,'danh-muc-linh-kien'!$A$2:$D$9,3,FALSE)</x:f>
        <x:v>2800000</x:v>
      </x:c>
      <x:c r="H8" s="11" t="str">
        <x:f>VLOOKUP(E8,'danh-muc-linh-kien'!$A$2:$D$9,4,FALSE)</x:f>
        <x:v>Khong ap dung</x:v>
      </x:c>
      <x:c r="I8" s="11" t="n">
        <x:f>COUNTIFS('danh-muc-linh-kien'!$A$2:$A$9,E8)</x:f>
        <x:v>1</x:v>
      </x:c>
    </x:row>
    <x:row r="9" ht="25" customHeight="1">
      <x:c r="A9" s="9" t="str">
        <x:v>TRAM003</x:v>
      </x:c>
      <x:c r="B9" s="9" t="str">
        <x:v>RAM002</x:v>
      </x:c>
      <x:c r="C9" s="9" t="n">
        <x:v>16</x:v>
      </x:c>
      <x:c r="D9" s="10" t="n">
        <x:v>46296</x:v>
      </x:c>
      <x:c r="E9" s="11" t="str">
        <x:f>TRIM(B9)</x:f>
        <x:v>RAM002</x:v>
      </x:c>
      <x:c r="F9" s="11" t="str">
        <x:f>VLOOKUP(E9,'danh-muc-linh-kien'!$A$2:$D$9,2,FALSE)</x:f>
        <x:v>RAM DDR4 16 GB</x:v>
      </x:c>
      <x:c r="G9" s="12" t="n">
        <x:f>VLOOKUP(E9,'danh-muc-linh-kien'!$A$2:$D$9,3,FALSE)</x:f>
        <x:v>850000</x:v>
      </x:c>
      <x:c r="H9" s="11" t="str">
        <x:f>VLOOKUP(E9,'danh-muc-linh-kien'!$A$2:$D$9,4,FALSE)</x:f>
        <x:v>Khong ap dung</x:v>
      </x:c>
      <x:c r="I9" s="11" t="n">
        <x:f>COUNTIFS('danh-muc-linh-kien'!$A$2:$A$9,E9)</x:f>
        <x:v>1</x:v>
      </x:c>
    </x:row>
    <x:row r="10" ht="25" customHeight="1">
      <x:c r="A10" s="9" t="str">
        <x:v>TRAM003</x:v>
      </x:c>
      <x:c r="B10" s="9" t="str">
        <x:v>HDD001</x:v>
      </x:c>
      <x:c r="C10" s="9" t="n">
        <x:v>16</x:v>
      </x:c>
      <x:c r="D10" s="10" t="n">
        <x:v>46296</x:v>
      </x:c>
      <x:c r="E10" s="11" t="str">
        <x:f>TRIM(B10)</x:f>
        <x:v>HDD001</x:v>
      </x:c>
      <x:c r="F10" s="11" t="str">
        <x:f>VLOOKUP(E10,'danh-muc-linh-kien'!$A$2:$D$9,2,FALSE)</x:f>
        <x:v>HDD SATA 1 TB</x:v>
      </x:c>
      <x:c r="G10" s="12" t="n">
        <x:f>VLOOKUP(E10,'danh-muc-linh-kien'!$A$2:$D$9,3,FALSE)</x:f>
        <x:v>1100000</x:v>
      </x:c>
      <x:c r="H10" s="11" t="str">
        <x:f>VLOOKUP(E10,'danh-muc-linh-kien'!$A$2:$D$9,4,FALSE)</x:f>
        <x:v>HDD</x:v>
      </x:c>
      <x:c r="I10" s="11" t="n">
        <x:f>COUNTIFS('danh-muc-linh-kien'!$A$2:$A$9,E10)</x:f>
        <x:v>1</x:v>
      </x:c>
    </x:row>
    <x:row r="11" ht="25" customHeight="1">
      <x:c r="A11" s="9" t="str">
        <x:v>TRAM004</x:v>
      </x:c>
      <x:c r="B11" s="9" t="str">
        <x:v>CPU001</x:v>
      </x:c>
      <x:c r="C11" s="9" t="n">
        <x:v>8</x:v>
      </x:c>
      <x:c r="D11" s="10" t="n">
        <x:v>46296</x:v>
      </x:c>
      <x:c r="E11" s="11" t="str">
        <x:f>TRIM(B11)</x:f>
        <x:v>CPU001</x:v>
      </x:c>
      <x:c r="F11" s="11" t="str">
        <x:f>VLOOKUP(E11,'danh-muc-linh-kien'!$A$2:$D$9,2,FALSE)</x:f>
        <x:v>CPU Intel Core i5 12400</x:v>
      </x:c>
      <x:c r="G11" s="12" t="n">
        <x:f>VLOOKUP(E11,'danh-muc-linh-kien'!$A$2:$D$9,3,FALSE)</x:f>
        <x:v>3500000</x:v>
      </x:c>
      <x:c r="H11" s="11" t="str">
        <x:f>VLOOKUP(E11,'danh-muc-linh-kien'!$A$2:$D$9,4,FALSE)</x:f>
        <x:v>Khong ap dung</x:v>
      </x:c>
      <x:c r="I11" s="11" t="n">
        <x:f>COUNTIFS('danh-muc-linh-kien'!$A$2:$A$9,E11)</x:f>
        <x:v>1</x:v>
      </x:c>
    </x:row>
    <x:row r="12" ht="25" customHeight="1">
      <x:c r="A12" s="9" t="str">
        <x:v>TRAM004</x:v>
      </x:c>
      <x:c r="B12" s="9" t="str">
        <x:v>RAM001</x:v>
      </x:c>
      <x:c r="C12" s="9" t="n">
        <x:v>8</x:v>
      </x:c>
      <x:c r="D12" s="10" t="n">
        <x:v>46296</x:v>
      </x:c>
      <x:c r="E12" s="11" t="str">
        <x:f>TRIM(B12)</x:f>
        <x:v>RAM001</x:v>
      </x:c>
      <x:c r="F12" s="11" t="str">
        <x:f>VLOOKUP(E12,'danh-muc-linh-kien'!$A$2:$D$9,2,FALSE)</x:f>
        <x:v>RAM DDR4 8 GB</x:v>
      </x:c>
      <x:c r="G12" s="12" t="n">
        <x:f>VLOOKUP(E12,'danh-muc-linh-kien'!$A$2:$D$9,3,FALSE)</x:f>
        <x:v>450000</x:v>
      </x:c>
      <x:c r="H12" s="11" t="str">
        <x:f>VLOOKUP(E12,'danh-muc-linh-kien'!$A$2:$D$9,4,FALSE)</x:f>
        <x:v>Khong ap dung</x:v>
      </x:c>
      <x:c r="I12" s="11" t="n">
        <x:f>COUNTIFS('danh-muc-linh-kien'!$A$2:$A$9,E12)</x:f>
        <x:v>1</x:v>
      </x:c>
    </x:row>
    <x:row r="13" ht="25" customHeight="1">
      <x:c r="A13" s="9" t="str">
        <x:v>TRAM004</x:v>
      </x:c>
      <x:c r="B13" s="9" t="str">
        <x:v>HDD002</x:v>
      </x:c>
      <x:c r="C13" s="9" t="n">
        <x:v>8</x:v>
      </x:c>
      <x:c r="D13" s="10" t="n">
        <x:v>46296</x:v>
      </x:c>
      <x:c r="E13" s="11" t="str">
        <x:f>TRIM(B13)</x:f>
        <x:v>HDD002</x:v>
      </x:c>
      <x:c r="F13" s="11" t="str">
        <x:f>VLOOKUP(E13,'danh-muc-linh-kien'!$A$2:$D$9,2,FALSE)</x:f>
        <x:v>HDD SATA 2 TB</x:v>
      </x:c>
      <x:c r="G13" s="12" t="n">
        <x:f>VLOOKUP(E13,'danh-muc-linh-kien'!$A$2:$D$9,3,FALSE)</x:f>
        <x:v>1600000</x:v>
      </x:c>
      <x:c r="H13" s="11" t="str">
        <x:f>VLOOKUP(E13,'danh-muc-linh-kien'!$A$2:$D$9,4,FALSE)</x:f>
        <x:v>HDD</x:v>
      </x:c>
      <x:c r="I13" s="11" t="n">
        <x:f>COUNTIFS('danh-muc-linh-kien'!$A$2:$A$9,E13)</x:f>
        <x:v>1</x:v>
      </x:c>
    </x:row>
    <x:row r="14" ht="25" customHeight="1">
      <x:c r="A14" s="9" t="str">
        <x:v>TRAM005</x:v>
      </x:c>
      <x:c r="B14" s="9" t="str">
        <x:v>CPU002</x:v>
      </x:c>
      <x:c r="C14" s="9" t="n">
        <x:v>16</x:v>
      </x:c>
      <x:c r="D14" s="10" t="n">
        <x:v>46296</x:v>
      </x:c>
      <x:c r="E14" s="11" t="str">
        <x:f>TRIM(B14)</x:f>
        <x:v>CPU002</x:v>
      </x:c>
      <x:c r="F14" s="11" t="str">
        <x:f>VLOOKUP(E14,'danh-muc-linh-kien'!$A$2:$D$9,2,FALSE)</x:f>
        <x:v>CPU AMD Ryzen 5 5600</x:v>
      </x:c>
      <x:c r="G14" s="12" t="n">
        <x:f>VLOOKUP(E14,'danh-muc-linh-kien'!$A$2:$D$9,3,FALSE)</x:f>
        <x:v>2800000</x:v>
      </x:c>
      <x:c r="H14" s="11" t="str">
        <x:f>VLOOKUP(E14,'danh-muc-linh-kien'!$A$2:$D$9,4,FALSE)</x:f>
        <x:v>Khong ap dung</x:v>
      </x:c>
      <x:c r="I14" s="11" t="n">
        <x:f>COUNTIFS('danh-muc-linh-kien'!$A$2:$A$9,E14)</x:f>
        <x:v>1</x:v>
      </x:c>
    </x:row>
    <x:row r="15" ht="25" customHeight="1">
      <x:c r="A15" s="9" t="str">
        <x:v>TRAM005</x:v>
      </x:c>
      <x:c r="B15" s="9" t="str">
        <x:v>RAM002</x:v>
      </x:c>
      <x:c r="C15" s="9" t="n">
        <x:v>16</x:v>
      </x:c>
      <x:c r="D15" s="10" t="n">
        <x:v>46296</x:v>
      </x:c>
      <x:c r="E15" s="11" t="str">
        <x:f>TRIM(B15)</x:f>
        <x:v>RAM002</x:v>
      </x:c>
      <x:c r="F15" s="11" t="str">
        <x:f>VLOOKUP(E15,'danh-muc-linh-kien'!$A$2:$D$9,2,FALSE)</x:f>
        <x:v>RAM DDR4 16 GB</x:v>
      </x:c>
      <x:c r="G15" s="12" t="n">
        <x:f>VLOOKUP(E15,'danh-muc-linh-kien'!$A$2:$D$9,3,FALSE)</x:f>
        <x:v>850000</x:v>
      </x:c>
      <x:c r="H15" s="11" t="str">
        <x:f>VLOOKUP(E15,'danh-muc-linh-kien'!$A$2:$D$9,4,FALSE)</x:f>
        <x:v>Khong ap dung</x:v>
      </x:c>
      <x:c r="I15" s="11" t="n">
        <x:f>COUNTIFS('danh-muc-linh-kien'!$A$2:$A$9,E15)</x:f>
        <x:v>1</x:v>
      </x:c>
    </x:row>
    <x:row r="16" ht="25" customHeight="1">
      <x:c r="A16" s="9" t="str">
        <x:v>TRAM005</x:v>
      </x:c>
      <x:c r="B16" s="9" t="str">
        <x:v>SSD001</x:v>
      </x:c>
      <x:c r="C16" s="9" t="n">
        <x:v>16</x:v>
      </x:c>
      <x:c r="D16" s="10" t="n">
        <x:v>46296</x:v>
      </x:c>
      <x:c r="E16" s="11" t="str">
        <x:f>TRIM(B16)</x:f>
        <x:v>SSD001</x:v>
      </x:c>
      <x:c r="F16" s="11" t="str">
        <x:f>VLOOKUP(E16,'danh-muc-linh-kien'!$A$2:$D$9,2,FALSE)</x:f>
        <x:v>SSD SATA 256 GB</x:v>
      </x:c>
      <x:c r="G16" s="12" t="n">
        <x:f>VLOOKUP(E16,'danh-muc-linh-kien'!$A$2:$D$9,3,FALSE)</x:f>
        <x:v>500000</x:v>
      </x:c>
      <x:c r="H16" s="11" t="str">
        <x:f>VLOOKUP(E16,'danh-muc-linh-kien'!$A$2:$D$9,4,FALSE)</x:f>
        <x:v>SSD</x:v>
      </x:c>
      <x:c r="I16" s="11" t="n">
        <x:f>COUNTIFS('danh-muc-linh-kien'!$A$2:$A$9,E16)</x:f>
        <x:v>1</x:v>
      </x:c>
    </x:row>
    <x:row r="17" ht="25" customHeight="1">
      <x:c r="A17" s="9" t="str">
        <x:v>TRAM006</x:v>
      </x:c>
      <x:c r="B17" s="9" t="str">
        <x:v>CPU001</x:v>
      </x:c>
      <x:c r="C17" s="9" t="n">
        <x:v>8</x:v>
      </x:c>
      <x:c r="D17" s="10" t="n">
        <x:v>46296</x:v>
      </x:c>
      <x:c r="E17" s="11" t="str">
        <x:f>TRIM(B17)</x:f>
        <x:v>CPU001</x:v>
      </x:c>
      <x:c r="F17" s="11" t="str">
        <x:f>VLOOKUP(E17,'danh-muc-linh-kien'!$A$2:$D$9,2,FALSE)</x:f>
        <x:v>CPU Intel Core i5 12400</x:v>
      </x:c>
      <x:c r="G17" s="12" t="n">
        <x:f>VLOOKUP(E17,'danh-muc-linh-kien'!$A$2:$D$9,3,FALSE)</x:f>
        <x:v>3500000</x:v>
      </x:c>
      <x:c r="H17" s="11" t="str">
        <x:f>VLOOKUP(E17,'danh-muc-linh-kien'!$A$2:$D$9,4,FALSE)</x:f>
        <x:v>Khong ap dung</x:v>
      </x:c>
      <x:c r="I17" s="11" t="n">
        <x:f>COUNTIFS('danh-muc-linh-kien'!$A$2:$A$9,E17)</x:f>
        <x:v>1</x:v>
      </x:c>
    </x:row>
    <x:row r="18" ht="25" customHeight="1">
      <x:c r="A18" s="9" t="str">
        <x:v>TRAM006</x:v>
      </x:c>
      <x:c r="B18" s="9" t="str">
        <x:v>RAM001</x:v>
      </x:c>
      <x:c r="C18" s="9" t="n">
        <x:v>8</x:v>
      </x:c>
      <x:c r="D18" s="10" t="n">
        <x:v>46296</x:v>
      </x:c>
      <x:c r="E18" s="11" t="str">
        <x:f>TRIM(B18)</x:f>
        <x:v>RAM001</x:v>
      </x:c>
      <x:c r="F18" s="11" t="str">
        <x:f>VLOOKUP(E18,'danh-muc-linh-kien'!$A$2:$D$9,2,FALSE)</x:f>
        <x:v>RAM DDR4 8 GB</x:v>
      </x:c>
      <x:c r="G18" s="12" t="n">
        <x:f>VLOOKUP(E18,'danh-muc-linh-kien'!$A$2:$D$9,3,FALSE)</x:f>
        <x:v>450000</x:v>
      </x:c>
      <x:c r="H18" s="11" t="str">
        <x:f>VLOOKUP(E18,'danh-muc-linh-kien'!$A$2:$D$9,4,FALSE)</x:f>
        <x:v>Khong ap dung</x:v>
      </x:c>
      <x:c r="I18" s="11" t="n">
        <x:f>COUNTIFS('danh-muc-linh-kien'!$A$2:$A$9,E18)</x:f>
        <x:v>1</x:v>
      </x:c>
    </x:row>
    <x:row r="19" ht="25" customHeight="1">
      <x:c r="A19" s="9" t="str">
        <x:v>TRAM006</x:v>
      </x:c>
      <x:c r="B19" s="9" t="str">
        <x:v>SSD002</x:v>
      </x:c>
      <x:c r="C19" s="9" t="n">
        <x:v>8</x:v>
      </x:c>
      <x:c r="D19" s="10" t="n">
        <x:v>46296</x:v>
      </x:c>
      <x:c r="E19" s="11" t="str">
        <x:f>TRIM(B19)</x:f>
        <x:v>SSD002</x:v>
      </x:c>
      <x:c r="F19" s="11" t="str">
        <x:f>VLOOKUP(E19,'danh-muc-linh-kien'!$A$2:$D$9,2,FALSE)</x:f>
        <x:v>SSD NVMe 512 GB</x:v>
      </x:c>
      <x:c r="G19" s="12" t="n">
        <x:f>VLOOKUP(E19,'danh-muc-linh-kien'!$A$2:$D$9,3,FALSE)</x:f>
        <x:v>900000</x:v>
      </x:c>
      <x:c r="H19" s="11" t="str">
        <x:f>VLOOKUP(E19,'danh-muc-linh-kien'!$A$2:$D$9,4,FALSE)</x:f>
        <x:v>SSD</x:v>
      </x:c>
      <x:c r="I19" s="11" t="n">
        <x:f>COUNTIFS('danh-muc-linh-kien'!$A$2:$A$9,E19)</x:f>
        <x:v>1</x:v>
      </x:c>
    </x:row>
    <x:row r="20" ht="25" customHeight="1">
      <x:c r="A20" s="9" t="str">
        <x:v>TRAM007</x:v>
      </x:c>
      <x:c r="B20" s="9" t="str">
        <x:v>CPU002</x:v>
      </x:c>
      <x:c r="C20" s="9" t="n">
        <x:v>16</x:v>
      </x:c>
      <x:c r="D20" s="10" t="n">
        <x:v>46296</x:v>
      </x:c>
      <x:c r="E20" s="11" t="str">
        <x:f>TRIM(B20)</x:f>
        <x:v>CPU002</x:v>
      </x:c>
      <x:c r="F20" s="11" t="str">
        <x:f>VLOOKUP(E20,'danh-muc-linh-kien'!$A$2:$D$9,2,FALSE)</x:f>
        <x:v>CPU AMD Ryzen 5 5600</x:v>
      </x:c>
      <x:c r="G20" s="12" t="n">
        <x:f>VLOOKUP(E20,'danh-muc-linh-kien'!$A$2:$D$9,3,FALSE)</x:f>
        <x:v>2800000</x:v>
      </x:c>
      <x:c r="H20" s="11" t="str">
        <x:f>VLOOKUP(E20,'danh-muc-linh-kien'!$A$2:$D$9,4,FALSE)</x:f>
        <x:v>Khong ap dung</x:v>
      </x:c>
      <x:c r="I20" s="11" t="n">
        <x:f>COUNTIFS('danh-muc-linh-kien'!$A$2:$A$9,E20)</x:f>
        <x:v>1</x:v>
      </x:c>
    </x:row>
    <x:row r="21" ht="25" customHeight="1">
      <x:c r="A21" s="9" t="str">
        <x:v>TRAM007</x:v>
      </x:c>
      <x:c r="B21" s="9" t="str">
        <x:v>RAM002</x:v>
      </x:c>
      <x:c r="C21" s="9" t="n">
        <x:v>16</x:v>
      </x:c>
      <x:c r="D21" s="10" t="n">
        <x:v>46296</x:v>
      </x:c>
      <x:c r="E21" s="11" t="str">
        <x:f>TRIM(B21)</x:f>
        <x:v>RAM002</x:v>
      </x:c>
      <x:c r="F21" s="11" t="str">
        <x:f>VLOOKUP(E21,'danh-muc-linh-kien'!$A$2:$D$9,2,FALSE)</x:f>
        <x:v>RAM DDR4 16 GB</x:v>
      </x:c>
      <x:c r="G21" s="12" t="n">
        <x:f>VLOOKUP(E21,'danh-muc-linh-kien'!$A$2:$D$9,3,FALSE)</x:f>
        <x:v>850000</x:v>
      </x:c>
      <x:c r="H21" s="11" t="str">
        <x:f>VLOOKUP(E21,'danh-muc-linh-kien'!$A$2:$D$9,4,FALSE)</x:f>
        <x:v>Khong ap dung</x:v>
      </x:c>
      <x:c r="I21" s="11" t="n">
        <x:f>COUNTIFS('danh-muc-linh-kien'!$A$2:$A$9,E21)</x:f>
        <x:v>1</x:v>
      </x:c>
    </x:row>
    <x:row r="22" ht="25" customHeight="1">
      <x:c r="A22" s="9" t="str">
        <x:v>TRAM007</x:v>
      </x:c>
      <x:c r="B22" s="9" t="str">
        <x:v>HDD001</x:v>
      </x:c>
      <x:c r="C22" s="9" t="n">
        <x:v>16</x:v>
      </x:c>
      <x:c r="D22" s="10" t="n">
        <x:v>46296</x:v>
      </x:c>
      <x:c r="E22" s="11" t="str">
        <x:f>TRIM(B22)</x:f>
        <x:v>HDD001</x:v>
      </x:c>
      <x:c r="F22" s="11" t="str">
        <x:f>VLOOKUP(E22,'danh-muc-linh-kien'!$A$2:$D$9,2,FALSE)</x:f>
        <x:v>HDD SATA 1 TB</x:v>
      </x:c>
      <x:c r="G22" s="12" t="n">
        <x:f>VLOOKUP(E22,'danh-muc-linh-kien'!$A$2:$D$9,3,FALSE)</x:f>
        <x:v>1100000</x:v>
      </x:c>
      <x:c r="H22" s="11" t="str">
        <x:f>VLOOKUP(E22,'danh-muc-linh-kien'!$A$2:$D$9,4,FALSE)</x:f>
        <x:v>HDD</x:v>
      </x:c>
      <x:c r="I22" s="11" t="n">
        <x:f>COUNTIFS('danh-muc-linh-kien'!$A$2:$A$9,E22)</x:f>
        <x:v>1</x:v>
      </x:c>
    </x:row>
    <x:row r="23" ht="25" customHeight="1">
      <x:c r="A23" s="9" t="str">
        <x:v>TRAM008</x:v>
      </x:c>
      <x:c r="B23" s="9" t="str">
        <x:v>CPU001</x:v>
      </x:c>
      <x:c r="C23" s="9" t="n">
        <x:v>8</x:v>
      </x:c>
      <x:c r="D23" s="10" t="n">
        <x:v>46296</x:v>
      </x:c>
      <x:c r="E23" s="11" t="str">
        <x:f>TRIM(B23)</x:f>
        <x:v>CPU001</x:v>
      </x:c>
      <x:c r="F23" s="11" t="str">
        <x:f>VLOOKUP(E23,'danh-muc-linh-kien'!$A$2:$D$9,2,FALSE)</x:f>
        <x:v>CPU Intel Core i5 12400</x:v>
      </x:c>
      <x:c r="G23" s="12" t="n">
        <x:f>VLOOKUP(E23,'danh-muc-linh-kien'!$A$2:$D$9,3,FALSE)</x:f>
        <x:v>3500000</x:v>
      </x:c>
      <x:c r="H23" s="11" t="str">
        <x:f>VLOOKUP(E23,'danh-muc-linh-kien'!$A$2:$D$9,4,FALSE)</x:f>
        <x:v>Khong ap dung</x:v>
      </x:c>
      <x:c r="I23" s="11" t="n">
        <x:f>COUNTIFS('danh-muc-linh-kien'!$A$2:$A$9,E23)</x:f>
        <x:v>1</x:v>
      </x:c>
    </x:row>
    <x:row r="24" ht="25" customHeight="1">
      <x:c r="A24" s="9" t="str">
        <x:v>TRAM008</x:v>
      </x:c>
      <x:c r="B24" s="9" t="str">
        <x:v>RAM001</x:v>
      </x:c>
      <x:c r="C24" s="9" t="n">
        <x:v>8</x:v>
      </x:c>
      <x:c r="D24" s="10" t="n">
        <x:v>46296</x:v>
      </x:c>
      <x:c r="E24" s="11" t="str">
        <x:f>TRIM(B24)</x:f>
        <x:v>RAM001</x:v>
      </x:c>
      <x:c r="F24" s="11" t="str">
        <x:f>VLOOKUP(E24,'danh-muc-linh-kien'!$A$2:$D$9,2,FALSE)</x:f>
        <x:v>RAM DDR4 8 GB</x:v>
      </x:c>
      <x:c r="G24" s="12" t="n">
        <x:f>VLOOKUP(E24,'danh-muc-linh-kien'!$A$2:$D$9,3,FALSE)</x:f>
        <x:v>450000</x:v>
      </x:c>
      <x:c r="H24" s="11" t="str">
        <x:f>VLOOKUP(E24,'danh-muc-linh-kien'!$A$2:$D$9,4,FALSE)</x:f>
        <x:v>Khong ap dung</x:v>
      </x:c>
      <x:c r="I24" s="11" t="n">
        <x:f>COUNTIFS('danh-muc-linh-kien'!$A$2:$A$9,E24)</x:f>
        <x:v>1</x:v>
      </x:c>
    </x:row>
    <x:row r="25" ht="25" customHeight="1">
      <x:c r="A25" s="9" t="str">
        <x:v>TRAM008</x:v>
      </x:c>
      <x:c r="B25" s="9" t="str">
        <x:v>HDD002</x:v>
      </x:c>
      <x:c r="C25" s="9" t="n">
        <x:v>8</x:v>
      </x:c>
      <x:c r="D25" s="10" t="n">
        <x:v>46296</x:v>
      </x:c>
      <x:c r="E25" s="11" t="str">
        <x:f>TRIM(B25)</x:f>
        <x:v>HDD002</x:v>
      </x:c>
      <x:c r="F25" s="11" t="str">
        <x:f>VLOOKUP(E25,'danh-muc-linh-kien'!$A$2:$D$9,2,FALSE)</x:f>
        <x:v>HDD SATA 2 TB</x:v>
      </x:c>
      <x:c r="G25" s="12" t="n">
        <x:f>VLOOKUP(E25,'danh-muc-linh-kien'!$A$2:$D$9,3,FALSE)</x:f>
        <x:v>1600000</x:v>
      </x:c>
      <x:c r="H25" s="11" t="str">
        <x:f>VLOOKUP(E25,'danh-muc-linh-kien'!$A$2:$D$9,4,FALSE)</x:f>
        <x:v>HDD</x:v>
      </x:c>
      <x:c r="I25" s="11" t="n">
        <x:f>COUNTIFS('danh-muc-linh-kien'!$A$2:$A$9,E25)</x:f>
        <x:v>1</x:v>
      </x:c>
    </x:row>
    <x:row r="26" ht="25" customHeight="1">
      <x:c r="A26" s="9" t="str">
        <x:v>TRAM009</x:v>
      </x:c>
      <x:c r="B26" s="9" t="str">
        <x:v>CPU002</x:v>
      </x:c>
      <x:c r="C26" s="9" t="n">
        <x:v>16</x:v>
      </x:c>
      <x:c r="D26" s="10" t="n">
        <x:v>46296</x:v>
      </x:c>
      <x:c r="E26" s="11" t="str">
        <x:f>TRIM(B26)</x:f>
        <x:v>CPU002</x:v>
      </x:c>
      <x:c r="F26" s="11" t="str">
        <x:f>VLOOKUP(E26,'danh-muc-linh-kien'!$A$2:$D$9,2,FALSE)</x:f>
        <x:v>CPU AMD Ryzen 5 5600</x:v>
      </x:c>
      <x:c r="G26" s="12" t="n">
        <x:f>VLOOKUP(E26,'danh-muc-linh-kien'!$A$2:$D$9,3,FALSE)</x:f>
        <x:v>2800000</x:v>
      </x:c>
      <x:c r="H26" s="11" t="str">
        <x:f>VLOOKUP(E26,'danh-muc-linh-kien'!$A$2:$D$9,4,FALSE)</x:f>
        <x:v>Khong ap dung</x:v>
      </x:c>
      <x:c r="I26" s="11" t="n">
        <x:f>COUNTIFS('danh-muc-linh-kien'!$A$2:$A$9,E26)</x:f>
        <x:v>1</x:v>
      </x:c>
    </x:row>
    <x:row r="27" ht="25" customHeight="1">
      <x:c r="A27" s="9" t="str">
        <x:v>TRAM009</x:v>
      </x:c>
      <x:c r="B27" s="9" t="str">
        <x:v>RAM002</x:v>
      </x:c>
      <x:c r="C27" s="9" t="n">
        <x:v>16</x:v>
      </x:c>
      <x:c r="D27" s="10" t="n">
        <x:v>46296</x:v>
      </x:c>
      <x:c r="E27" s="11" t="str">
        <x:f>TRIM(B27)</x:f>
        <x:v>RAM002</x:v>
      </x:c>
      <x:c r="F27" s="11" t="str">
        <x:f>VLOOKUP(E27,'danh-muc-linh-kien'!$A$2:$D$9,2,FALSE)</x:f>
        <x:v>RAM DDR4 16 GB</x:v>
      </x:c>
      <x:c r="G27" s="12" t="n">
        <x:f>VLOOKUP(E27,'danh-muc-linh-kien'!$A$2:$D$9,3,FALSE)</x:f>
        <x:v>850000</x:v>
      </x:c>
      <x:c r="H27" s="11" t="str">
        <x:f>VLOOKUP(E27,'danh-muc-linh-kien'!$A$2:$D$9,4,FALSE)</x:f>
        <x:v>Khong ap dung</x:v>
      </x:c>
      <x:c r="I27" s="11" t="n">
        <x:f>COUNTIFS('danh-muc-linh-kien'!$A$2:$A$9,E27)</x:f>
        <x:v>1</x:v>
      </x:c>
    </x:row>
    <x:row r="28" ht="25" customHeight="1">
      <x:c r="A28" s="9" t="str">
        <x:v>TRAM009</x:v>
      </x:c>
      <x:c r="B28" s="9" t="str">
        <x:v>SSD001</x:v>
      </x:c>
      <x:c r="C28" s="9" t="n">
        <x:v>16</x:v>
      </x:c>
      <x:c r="D28" s="10" t="n">
        <x:v>46296</x:v>
      </x:c>
      <x:c r="E28" s="11" t="str">
        <x:f>TRIM(B28)</x:f>
        <x:v>SSD001</x:v>
      </x:c>
      <x:c r="F28" s="11" t="str">
        <x:f>VLOOKUP(E28,'danh-muc-linh-kien'!$A$2:$D$9,2,FALSE)</x:f>
        <x:v>SSD SATA 256 GB</x:v>
      </x:c>
      <x:c r="G28" s="12" t="n">
        <x:f>VLOOKUP(E28,'danh-muc-linh-kien'!$A$2:$D$9,3,FALSE)</x:f>
        <x:v>500000</x:v>
      </x:c>
      <x:c r="H28" s="11" t="str">
        <x:f>VLOOKUP(E28,'danh-muc-linh-kien'!$A$2:$D$9,4,FALSE)</x:f>
        <x:v>SSD</x:v>
      </x:c>
      <x:c r="I28" s="11" t="n">
        <x:f>COUNTIFS('danh-muc-linh-kien'!$A$2:$A$9,E28)</x:f>
        <x:v>1</x:v>
      </x:c>
    </x:row>
    <x:row r="29" ht="25" customHeight="1">
      <x:c r="A29" s="9" t="str">
        <x:v>TRAM010</x:v>
      </x:c>
      <x:c r="B29" s="9" t="str">
        <x:v>  CPU001  </x:v>
      </x:c>
      <x:c r="C29" s="9" t="n">
        <x:v>8</x:v>
      </x:c>
      <x:c r="D29" s="10" t="n">
        <x:v>46296</x:v>
      </x:c>
      <x:c r="E29" s="11" t="str">
        <x:f>TRIM(B29)</x:f>
        <x:v>CPU001</x:v>
      </x:c>
      <x:c r="F29" s="11" t="str">
        <x:f>VLOOKUP(E29,'danh-muc-linh-kien'!$A$2:$D$9,2,FALSE)</x:f>
        <x:v>CPU Intel Core i5 12400</x:v>
      </x:c>
      <x:c r="G29" s="12" t="n">
        <x:f>VLOOKUP(E29,'danh-muc-linh-kien'!$A$2:$D$9,3,FALSE)</x:f>
        <x:v>3500000</x:v>
      </x:c>
      <x:c r="H29" s="11" t="str">
        <x:f>VLOOKUP(E29,'danh-muc-linh-kien'!$A$2:$D$9,4,FALSE)</x:f>
        <x:v>Khong ap dung</x:v>
      </x:c>
      <x:c r="I29" s="11" t="n">
        <x:f>COUNTIFS('danh-muc-linh-kien'!$A$2:$A$9,E29)</x:f>
        <x:v>1</x:v>
      </x:c>
    </x:row>
    <x:row r="30" ht="25" customHeight="1">
      <x:c r="A30" s="9" t="str">
        <x:v>TRAM010</x:v>
      </x:c>
      <x:c r="B30" s="9" t="str">
        <x:v>  RAM001  </x:v>
      </x:c>
      <x:c r="C30" s="9" t="n">
        <x:v>8</x:v>
      </x:c>
      <x:c r="D30" s="10" t="n">
        <x:v>46296</x:v>
      </x:c>
      <x:c r="E30" s="11" t="str">
        <x:f>TRIM(B30)</x:f>
        <x:v>RAM001</x:v>
      </x:c>
      <x:c r="F30" s="11" t="str">
        <x:f>VLOOKUP(E30,'danh-muc-linh-kien'!$A$2:$D$9,2,FALSE)</x:f>
        <x:v>RAM DDR4 8 GB</x:v>
      </x:c>
      <x:c r="G30" s="12" t="n">
        <x:f>VLOOKUP(E30,'danh-muc-linh-kien'!$A$2:$D$9,3,FALSE)</x:f>
        <x:v>450000</x:v>
      </x:c>
      <x:c r="H30" s="11" t="str">
        <x:f>VLOOKUP(E30,'danh-muc-linh-kien'!$A$2:$D$9,4,FALSE)</x:f>
        <x:v>Khong ap dung</x:v>
      </x:c>
      <x:c r="I30" s="11" t="n">
        <x:f>COUNTIFS('danh-muc-linh-kien'!$A$2:$A$9,E30)</x:f>
        <x:v>1</x:v>
      </x:c>
    </x:row>
    <x:row r="31" ht="25" customHeight="1">
      <x:c r="A31" s="9" t="str">
        <x:v>TRAM010</x:v>
      </x:c>
      <x:c r="B31" s="9" t="str">
        <x:v>  SSD002  </x:v>
      </x:c>
      <x:c r="C31" s="9" t="n">
        <x:v>8</x:v>
      </x:c>
      <x:c r="D31" s="10" t="n">
        <x:v>46296</x:v>
      </x:c>
      <x:c r="E31" s="11" t="str">
        <x:f>TRIM(B31)</x:f>
        <x:v>SSD002</x:v>
      </x:c>
      <x:c r="F31" s="11" t="str">
        <x:f>VLOOKUP(E31,'danh-muc-linh-kien'!$A$2:$D$9,2,FALSE)</x:f>
        <x:v>SSD NVMe 512 GB</x:v>
      </x:c>
      <x:c r="G31" s="12" t="n">
        <x:f>VLOOKUP(E31,'danh-muc-linh-kien'!$A$2:$D$9,3,FALSE)</x:f>
        <x:v>900000</x:v>
      </x:c>
      <x:c r="H31" s="11" t="str">
        <x:f>VLOOKUP(E31,'danh-muc-linh-kien'!$A$2:$D$9,4,FALSE)</x:f>
        <x:v>SSD</x:v>
      </x:c>
      <x:c r="I31" s="11" t="n">
        <x:f>COUNTIFS('danh-muc-linh-kien'!$A$2:$A$9,E31)</x:f>
        <x:v>1</x:v>
      </x:c>
    </x:row>
    <x:row r="32" ht="25" customHeight="1">
      <x:c r="A32" s="9" t="str">
        <x:v>TRAM011</x:v>
      </x:c>
      <x:c r="B32" s="9" t="str">
        <x:v>CPU002</x:v>
      </x:c>
      <x:c r="C32" s="9" t="n">
        <x:v>16</x:v>
      </x:c>
      <x:c r="D32" s="10" t="n">
        <x:v>46296</x:v>
      </x:c>
      <x:c r="E32" s="11" t="str">
        <x:f>TRIM(B32)</x:f>
        <x:v>CPU002</x:v>
      </x:c>
      <x:c r="F32" s="11" t="str">
        <x:f>VLOOKUP(E32,'danh-muc-linh-kien'!$A$2:$D$9,2,FALSE)</x:f>
        <x:v>CPU AMD Ryzen 5 5600</x:v>
      </x:c>
      <x:c r="G32" s="12" t="n">
        <x:f>VLOOKUP(E32,'danh-muc-linh-kien'!$A$2:$D$9,3,FALSE)</x:f>
        <x:v>2800000</x:v>
      </x:c>
      <x:c r="H32" s="11" t="str">
        <x:f>VLOOKUP(E32,'danh-muc-linh-kien'!$A$2:$D$9,4,FALSE)</x:f>
        <x:v>Khong ap dung</x:v>
      </x:c>
      <x:c r="I32" s="11" t="n">
        <x:f>COUNTIFS('danh-muc-linh-kien'!$A$2:$A$9,E32)</x:f>
        <x:v>1</x:v>
      </x:c>
    </x:row>
    <x:row r="33" ht="25" customHeight="1">
      <x:c r="A33" s="9" t="str">
        <x:v>TRAM011</x:v>
      </x:c>
      <x:c r="B33" s="9" t="str">
        <x:v>RAM002</x:v>
      </x:c>
      <x:c r="C33" s="9" t="n">
        <x:v>16</x:v>
      </x:c>
      <x:c r="D33" s="10" t="n">
        <x:v>46296</x:v>
      </x:c>
      <x:c r="E33" s="11" t="str">
        <x:f>TRIM(B33)</x:f>
        <x:v>RAM002</x:v>
      </x:c>
      <x:c r="F33" s="11" t="str">
        <x:f>VLOOKUP(E33,'danh-muc-linh-kien'!$A$2:$D$9,2,FALSE)</x:f>
        <x:v>RAM DDR4 16 GB</x:v>
      </x:c>
      <x:c r="G33" s="12" t="n">
        <x:f>VLOOKUP(E33,'danh-muc-linh-kien'!$A$2:$D$9,3,FALSE)</x:f>
        <x:v>850000</x:v>
      </x:c>
      <x:c r="H33" s="11" t="str">
        <x:f>VLOOKUP(E33,'danh-muc-linh-kien'!$A$2:$D$9,4,FALSE)</x:f>
        <x:v>Khong ap dung</x:v>
      </x:c>
      <x:c r="I33" s="11" t="n">
        <x:f>COUNTIFS('danh-muc-linh-kien'!$A$2:$A$9,E33)</x:f>
        <x:v>1</x:v>
      </x:c>
    </x:row>
    <x:row r="34" ht="25" customHeight="1">
      <x:c r="A34" s="9" t="str">
        <x:v>TRAM011</x:v>
      </x:c>
      <x:c r="B34" s="9" t="str">
        <x:v>HDD001</x:v>
      </x:c>
      <x:c r="C34" s="9" t="n">
        <x:v>16</x:v>
      </x:c>
      <x:c r="D34" s="10" t="n">
        <x:v>46296</x:v>
      </x:c>
      <x:c r="E34" s="11" t="str">
        <x:f>TRIM(B34)</x:f>
        <x:v>HDD001</x:v>
      </x:c>
      <x:c r="F34" s="11" t="str">
        <x:f>VLOOKUP(E34,'danh-muc-linh-kien'!$A$2:$D$9,2,FALSE)</x:f>
        <x:v>HDD SATA 1 TB</x:v>
      </x:c>
      <x:c r="G34" s="12" t="n">
        <x:f>VLOOKUP(E34,'danh-muc-linh-kien'!$A$2:$D$9,3,FALSE)</x:f>
        <x:v>1100000</x:v>
      </x:c>
      <x:c r="H34" s="11" t="str">
        <x:f>VLOOKUP(E34,'danh-muc-linh-kien'!$A$2:$D$9,4,FALSE)</x:f>
        <x:v>HDD</x:v>
      </x:c>
      <x:c r="I34" s="11" t="n">
        <x:f>COUNTIFS('danh-muc-linh-kien'!$A$2:$A$9,E34)</x:f>
        <x:v>1</x:v>
      </x:c>
    </x:row>
    <x:row r="35" ht="25" customHeight="1">
      <x:c r="A35" s="9" t="str">
        <x:v>TRAM012</x:v>
      </x:c>
      <x:c r="B35" s="9" t="str">
        <x:v>CPU001</x:v>
      </x:c>
      <x:c r="C35" s="9" t="n">
        <x:v>8</x:v>
      </x:c>
      <x:c r="D35" s="10" t="n">
        <x:v>46296</x:v>
      </x:c>
      <x:c r="E35" s="11" t="str">
        <x:f>TRIM(B35)</x:f>
        <x:v>CPU001</x:v>
      </x:c>
      <x:c r="F35" s="11" t="str">
        <x:f>VLOOKUP(E35,'danh-muc-linh-kien'!$A$2:$D$9,2,FALSE)</x:f>
        <x:v>CPU Intel Core i5 12400</x:v>
      </x:c>
      <x:c r="G35" s="12" t="n">
        <x:f>VLOOKUP(E35,'danh-muc-linh-kien'!$A$2:$D$9,3,FALSE)</x:f>
        <x:v>3500000</x:v>
      </x:c>
      <x:c r="H35" s="11" t="str">
        <x:f>VLOOKUP(E35,'danh-muc-linh-kien'!$A$2:$D$9,4,FALSE)</x:f>
        <x:v>Khong ap dung</x:v>
      </x:c>
      <x:c r="I35" s="11" t="n">
        <x:f>COUNTIFS('danh-muc-linh-kien'!$A$2:$A$9,E35)</x:f>
        <x:v>1</x:v>
      </x:c>
    </x:row>
    <x:row r="36" ht="25" customHeight="1">
      <x:c r="A36" s="9" t="str">
        <x:v>TRAM012</x:v>
      </x:c>
      <x:c r="B36" s="9" t="str">
        <x:v>RAM001</x:v>
      </x:c>
      <x:c r="C36" s="9" t="n">
        <x:v>8</x:v>
      </x:c>
      <x:c r="D36" s="10" t="n">
        <x:v>46296</x:v>
      </x:c>
      <x:c r="E36" s="11" t="str">
        <x:f>TRIM(B36)</x:f>
        <x:v>RAM001</x:v>
      </x:c>
      <x:c r="F36" s="11" t="str">
        <x:f>VLOOKUP(E36,'danh-muc-linh-kien'!$A$2:$D$9,2,FALSE)</x:f>
        <x:v>RAM DDR4 8 GB</x:v>
      </x:c>
      <x:c r="G36" s="12" t="n">
        <x:f>VLOOKUP(E36,'danh-muc-linh-kien'!$A$2:$D$9,3,FALSE)</x:f>
        <x:v>450000</x:v>
      </x:c>
      <x:c r="H36" s="11" t="str">
        <x:f>VLOOKUP(E36,'danh-muc-linh-kien'!$A$2:$D$9,4,FALSE)</x:f>
        <x:v>Khong ap dung</x:v>
      </x:c>
      <x:c r="I36" s="11" t="n">
        <x:f>COUNTIFS('danh-muc-linh-kien'!$A$2:$A$9,E36)</x:f>
        <x:v>1</x:v>
      </x:c>
    </x:row>
    <x:row r="37" ht="25" customHeight="1">
      <x:c r="A37" s="9" t="str">
        <x:v>TRAM012</x:v>
      </x:c>
      <x:c r="B37" s="9" t="str">
        <x:v>HDD002</x:v>
      </x:c>
      <x:c r="C37" s="9" t="n">
        <x:v>8</x:v>
      </x:c>
      <x:c r="D37" s="10" t="n">
        <x:v>46296</x:v>
      </x:c>
      <x:c r="E37" s="11" t="str">
        <x:f>TRIM(B37)</x:f>
        <x:v>HDD002</x:v>
      </x:c>
      <x:c r="F37" s="11" t="str">
        <x:f>VLOOKUP(E37,'danh-muc-linh-kien'!$A$2:$D$9,2,FALSE)</x:f>
        <x:v>HDD SATA 2 TB</x:v>
      </x:c>
      <x:c r="G37" s="12" t="n">
        <x:f>VLOOKUP(E37,'danh-muc-linh-kien'!$A$2:$D$9,3,FALSE)</x:f>
        <x:v>1600000</x:v>
      </x:c>
      <x:c r="H37" s="11" t="str">
        <x:f>VLOOKUP(E37,'danh-muc-linh-kien'!$A$2:$D$9,4,FALSE)</x:f>
        <x:v>HDD</x:v>
      </x:c>
      <x:c r="I37" s="11" t="n">
        <x:f>COUNTIFS('danh-muc-linh-kien'!$A$2:$A$9,E37)</x:f>
        <x:v>1</x:v>
      </x:c>
    </x:row>
    <x:row r="38" ht="25" customHeight="1">
      <x:c r="A38" s="9" t="str">
        <x:v>TRAM013</x:v>
      </x:c>
      <x:c r="B38" s="9" t="str">
        <x:v>CPU002</x:v>
      </x:c>
      <x:c r="C38" s="9" t="n">
        <x:v>16</x:v>
      </x:c>
      <x:c r="D38" s="10" t="n">
        <x:v>46296</x:v>
      </x:c>
      <x:c r="E38" s="11" t="str">
        <x:f>TRIM(B38)</x:f>
        <x:v>CPU002</x:v>
      </x:c>
      <x:c r="F38" s="11" t="str">
        <x:f>VLOOKUP(E38,'danh-muc-linh-kien'!$A$2:$D$9,2,FALSE)</x:f>
        <x:v>CPU AMD Ryzen 5 5600</x:v>
      </x:c>
      <x:c r="G38" s="12" t="n">
        <x:f>VLOOKUP(E38,'danh-muc-linh-kien'!$A$2:$D$9,3,FALSE)</x:f>
        <x:v>2800000</x:v>
      </x:c>
      <x:c r="H38" s="11" t="str">
        <x:f>VLOOKUP(E38,'danh-muc-linh-kien'!$A$2:$D$9,4,FALSE)</x:f>
        <x:v>Khong ap dung</x:v>
      </x:c>
      <x:c r="I38" s="11" t="n">
        <x:f>COUNTIFS('danh-muc-linh-kien'!$A$2:$A$9,E38)</x:f>
        <x:v>1</x:v>
      </x:c>
    </x:row>
    <x:row r="39" ht="25" customHeight="1">
      <x:c r="A39" s="9" t="str">
        <x:v>TRAM013</x:v>
      </x:c>
      <x:c r="B39" s="9" t="str">
        <x:v>RAM002</x:v>
      </x:c>
      <x:c r="C39" s="9" t="n">
        <x:v>16</x:v>
      </x:c>
      <x:c r="D39" s="10" t="n">
        <x:v>46296</x:v>
      </x:c>
      <x:c r="E39" s="11" t="str">
        <x:f>TRIM(B39)</x:f>
        <x:v>RAM002</x:v>
      </x:c>
      <x:c r="F39" s="11" t="str">
        <x:f>VLOOKUP(E39,'danh-muc-linh-kien'!$A$2:$D$9,2,FALSE)</x:f>
        <x:v>RAM DDR4 16 GB</x:v>
      </x:c>
      <x:c r="G39" s="12" t="n">
        <x:f>VLOOKUP(E39,'danh-muc-linh-kien'!$A$2:$D$9,3,FALSE)</x:f>
        <x:v>850000</x:v>
      </x:c>
      <x:c r="H39" s="11" t="str">
        <x:f>VLOOKUP(E39,'danh-muc-linh-kien'!$A$2:$D$9,4,FALSE)</x:f>
        <x:v>Khong ap dung</x:v>
      </x:c>
      <x:c r="I39" s="11" t="n">
        <x:f>COUNTIFS('danh-muc-linh-kien'!$A$2:$A$9,E39)</x:f>
        <x:v>1</x:v>
      </x:c>
    </x:row>
    <x:row r="40" ht="25" customHeight="1">
      <x:c r="A40" s="9" t="str">
        <x:v>TRAM013</x:v>
      </x:c>
      <x:c r="B40" s="9" t="str">
        <x:v>SSD001</x:v>
      </x:c>
      <x:c r="C40" s="9" t="n">
        <x:v>16</x:v>
      </x:c>
      <x:c r="D40" s="10" t="n">
        <x:v>46296</x:v>
      </x:c>
      <x:c r="E40" s="11" t="str">
        <x:f>TRIM(B40)</x:f>
        <x:v>SSD001</x:v>
      </x:c>
      <x:c r="F40" s="11" t="str">
        <x:f>VLOOKUP(E40,'danh-muc-linh-kien'!$A$2:$D$9,2,FALSE)</x:f>
        <x:v>SSD SATA 256 GB</x:v>
      </x:c>
      <x:c r="G40" s="12" t="n">
        <x:f>VLOOKUP(E40,'danh-muc-linh-kien'!$A$2:$D$9,3,FALSE)</x:f>
        <x:v>500000</x:v>
      </x:c>
      <x:c r="H40" s="11" t="str">
        <x:f>VLOOKUP(E40,'danh-muc-linh-kien'!$A$2:$D$9,4,FALSE)</x:f>
        <x:v>SSD</x:v>
      </x:c>
      <x:c r="I40" s="11" t="n">
        <x:f>COUNTIFS('danh-muc-linh-kien'!$A$2:$A$9,E40)</x:f>
        <x:v>1</x:v>
      </x:c>
    </x:row>
    <x:row r="41" ht="25" customHeight="1">
      <x:c r="A41" s="9" t="str">
        <x:v>TRAM014</x:v>
      </x:c>
      <x:c r="B41" s="9" t="str">
        <x:v>CPU001</x:v>
      </x:c>
      <x:c r="C41" s="9" t="n">
        <x:v>8</x:v>
      </x:c>
      <x:c r="D41" s="10" t="n">
        <x:v>46296</x:v>
      </x:c>
      <x:c r="E41" s="11" t="str">
        <x:f>TRIM(B41)</x:f>
        <x:v>CPU001</x:v>
      </x:c>
      <x:c r="F41" s="11" t="str">
        <x:f>VLOOKUP(E41,'danh-muc-linh-kien'!$A$2:$D$9,2,FALSE)</x:f>
        <x:v>CPU Intel Core i5 12400</x:v>
      </x:c>
      <x:c r="G41" s="12" t="n">
        <x:f>VLOOKUP(E41,'danh-muc-linh-kien'!$A$2:$D$9,3,FALSE)</x:f>
        <x:v>3500000</x:v>
      </x:c>
      <x:c r="H41" s="11" t="str">
        <x:f>VLOOKUP(E41,'danh-muc-linh-kien'!$A$2:$D$9,4,FALSE)</x:f>
        <x:v>Khong ap dung</x:v>
      </x:c>
      <x:c r="I41" s="11" t="n">
        <x:f>COUNTIFS('danh-muc-linh-kien'!$A$2:$A$9,E41)</x:f>
        <x:v>1</x:v>
      </x:c>
    </x:row>
    <x:row r="42" ht="25" customHeight="1">
      <x:c r="A42" s="9" t="str">
        <x:v>TRAM014</x:v>
      </x:c>
      <x:c r="B42" s="9" t="str">
        <x:v>RAM001</x:v>
      </x:c>
      <x:c r="C42" s="9" t="n">
        <x:v>8</x:v>
      </x:c>
      <x:c r="D42" s="10" t="n">
        <x:v>46296</x:v>
      </x:c>
      <x:c r="E42" s="11" t="str">
        <x:f>TRIM(B42)</x:f>
        <x:v>RAM001</x:v>
      </x:c>
      <x:c r="F42" s="11" t="str">
        <x:f>VLOOKUP(E42,'danh-muc-linh-kien'!$A$2:$D$9,2,FALSE)</x:f>
        <x:v>RAM DDR4 8 GB</x:v>
      </x:c>
      <x:c r="G42" s="12" t="n">
        <x:f>VLOOKUP(E42,'danh-muc-linh-kien'!$A$2:$D$9,3,FALSE)</x:f>
        <x:v>450000</x:v>
      </x:c>
      <x:c r="H42" s="11" t="str">
        <x:f>VLOOKUP(E42,'danh-muc-linh-kien'!$A$2:$D$9,4,FALSE)</x:f>
        <x:v>Khong ap dung</x:v>
      </x:c>
      <x:c r="I42" s="11" t="n">
        <x:f>COUNTIFS('danh-muc-linh-kien'!$A$2:$A$9,E42)</x:f>
        <x:v>1</x:v>
      </x:c>
    </x:row>
    <x:row r="43" ht="25" customHeight="1">
      <x:c r="A43" s="9" t="str">
        <x:v>TRAM014</x:v>
      </x:c>
      <x:c r="B43" s="9" t="str">
        <x:v>SSD002</x:v>
      </x:c>
      <x:c r="C43" s="9" t="n">
        <x:v>8</x:v>
      </x:c>
      <x:c r="D43" s="10" t="n">
        <x:v>46296</x:v>
      </x:c>
      <x:c r="E43" s="11" t="str">
        <x:f>TRIM(B43)</x:f>
        <x:v>SSD002</x:v>
      </x:c>
      <x:c r="F43" s="11" t="str">
        <x:f>VLOOKUP(E43,'danh-muc-linh-kien'!$A$2:$D$9,2,FALSE)</x:f>
        <x:v>SSD NVMe 512 GB</x:v>
      </x:c>
      <x:c r="G43" s="12" t="n">
        <x:f>VLOOKUP(E43,'danh-muc-linh-kien'!$A$2:$D$9,3,FALSE)</x:f>
        <x:v>900000</x:v>
      </x:c>
      <x:c r="H43" s="11" t="str">
        <x:f>VLOOKUP(E43,'danh-muc-linh-kien'!$A$2:$D$9,4,FALSE)</x:f>
        <x:v>SSD</x:v>
      </x:c>
      <x:c r="I43" s="11" t="n">
        <x:f>COUNTIFS('danh-muc-linh-kien'!$A$2:$A$9,E43)</x:f>
        <x:v>1</x:v>
      </x:c>
    </x:row>
    <x:row r="44" ht="25" customHeight="1">
      <x:c r="A44" s="9" t="str">
        <x:v>TRAM015</x:v>
      </x:c>
      <x:c r="B44" s="9" t="str">
        <x:v>CPU002</x:v>
      </x:c>
      <x:c r="C44" s="9" t="n">
        <x:v>16</x:v>
      </x:c>
      <x:c r="D44" s="10" t="n">
        <x:v>46296</x:v>
      </x:c>
      <x:c r="E44" s="11" t="str">
        <x:f>TRIM(B44)</x:f>
        <x:v>CPU002</x:v>
      </x:c>
      <x:c r="F44" s="11" t="str">
        <x:f>VLOOKUP(E44,'danh-muc-linh-kien'!$A$2:$D$9,2,FALSE)</x:f>
        <x:v>CPU AMD Ryzen 5 5600</x:v>
      </x:c>
      <x:c r="G44" s="12" t="n">
        <x:f>VLOOKUP(E44,'danh-muc-linh-kien'!$A$2:$D$9,3,FALSE)</x:f>
        <x:v>2800000</x:v>
      </x:c>
      <x:c r="H44" s="11" t="str">
        <x:f>VLOOKUP(E44,'danh-muc-linh-kien'!$A$2:$D$9,4,FALSE)</x:f>
        <x:v>Khong ap dung</x:v>
      </x:c>
      <x:c r="I44" s="11" t="n">
        <x:f>COUNTIFS('danh-muc-linh-kien'!$A$2:$A$9,E44)</x:f>
        <x:v>1</x:v>
      </x:c>
    </x:row>
    <x:row r="45" ht="25" customHeight="1">
      <x:c r="A45" s="9" t="str">
        <x:v>TRAM015</x:v>
      </x:c>
      <x:c r="B45" s="9" t="str">
        <x:v>RAM002</x:v>
      </x:c>
      <x:c r="C45" s="9" t="n">
        <x:v>16</x:v>
      </x:c>
      <x:c r="D45" s="10" t="n">
        <x:v>46296</x:v>
      </x:c>
      <x:c r="E45" s="11" t="str">
        <x:f>TRIM(B45)</x:f>
        <x:v>RAM002</x:v>
      </x:c>
      <x:c r="F45" s="11" t="str">
        <x:f>VLOOKUP(E45,'danh-muc-linh-kien'!$A$2:$D$9,2,FALSE)</x:f>
        <x:v>RAM DDR4 16 GB</x:v>
      </x:c>
      <x:c r="G45" s="12" t="n">
        <x:f>VLOOKUP(E45,'danh-muc-linh-kien'!$A$2:$D$9,3,FALSE)</x:f>
        <x:v>850000</x:v>
      </x:c>
      <x:c r="H45" s="11" t="str">
        <x:f>VLOOKUP(E45,'danh-muc-linh-kien'!$A$2:$D$9,4,FALSE)</x:f>
        <x:v>Khong ap dung</x:v>
      </x:c>
      <x:c r="I45" s="11" t="n">
        <x:f>COUNTIFS('danh-muc-linh-kien'!$A$2:$A$9,E45)</x:f>
        <x:v>1</x:v>
      </x:c>
    </x:row>
    <x:row r="46" ht="25" customHeight="1">
      <x:c r="A46" s="9" t="str">
        <x:v>TRAM015</x:v>
      </x:c>
      <x:c r="B46" s="9" t="str">
        <x:v>HDD001</x:v>
      </x:c>
      <x:c r="C46" s="9" t="n">
        <x:v>16</x:v>
      </x:c>
      <x:c r="D46" s="10" t="n">
        <x:v>46296</x:v>
      </x:c>
      <x:c r="E46" s="11" t="str">
        <x:f>TRIM(B46)</x:f>
        <x:v>HDD001</x:v>
      </x:c>
      <x:c r="F46" s="11" t="str">
        <x:f>VLOOKUP(E46,'danh-muc-linh-kien'!$A$2:$D$9,2,FALSE)</x:f>
        <x:v>HDD SATA 1 TB</x:v>
      </x:c>
      <x:c r="G46" s="12" t="n">
        <x:f>VLOOKUP(E46,'danh-muc-linh-kien'!$A$2:$D$9,3,FALSE)</x:f>
        <x:v>1100000</x:v>
      </x:c>
      <x:c r="H46" s="11" t="str">
        <x:f>VLOOKUP(E46,'danh-muc-linh-kien'!$A$2:$D$9,4,FALSE)</x:f>
        <x:v>HDD</x:v>
      </x:c>
      <x:c r="I46" s="11" t="n">
        <x:f>COUNTIFS('danh-muc-linh-kien'!$A$2:$A$9,E46)</x:f>
        <x:v>1</x:v>
      </x:c>
    </x:row>
    <x:row r="47" ht="25" customHeight="1">
      <x:c r="A47" s="9" t="str">
        <x:v>TRAM016</x:v>
      </x:c>
      <x:c r="B47" s="9" t="str">
        <x:v>CPU001</x:v>
      </x:c>
      <x:c r="C47" s="9" t="n">
        <x:v>8</x:v>
      </x:c>
      <x:c r="D47" s="10" t="n">
        <x:v>46296</x:v>
      </x:c>
      <x:c r="E47" s="11" t="str">
        <x:f>TRIM(B47)</x:f>
        <x:v>CPU001</x:v>
      </x:c>
      <x:c r="F47" s="11" t="str">
        <x:f>VLOOKUP(E47,'danh-muc-linh-kien'!$A$2:$D$9,2,FALSE)</x:f>
        <x:v>CPU Intel Core i5 12400</x:v>
      </x:c>
      <x:c r="G47" s="12" t="n">
        <x:f>VLOOKUP(E47,'danh-muc-linh-kien'!$A$2:$D$9,3,FALSE)</x:f>
        <x:v>3500000</x:v>
      </x:c>
      <x:c r="H47" s="11" t="str">
        <x:f>VLOOKUP(E47,'danh-muc-linh-kien'!$A$2:$D$9,4,FALSE)</x:f>
        <x:v>Khong ap dung</x:v>
      </x:c>
      <x:c r="I47" s="11" t="n">
        <x:f>COUNTIFS('danh-muc-linh-kien'!$A$2:$A$9,E47)</x:f>
        <x:v>1</x:v>
      </x:c>
    </x:row>
    <x:row r="48" ht="25" customHeight="1">
      <x:c r="A48" s="9" t="str">
        <x:v>TRAM016</x:v>
      </x:c>
      <x:c r="B48" s="9" t="str">
        <x:v>RAM001</x:v>
      </x:c>
      <x:c r="C48" s="9" t="n">
        <x:v>8</x:v>
      </x:c>
      <x:c r="D48" s="10" t="n">
        <x:v>46296</x:v>
      </x:c>
      <x:c r="E48" s="11" t="str">
        <x:f>TRIM(B48)</x:f>
        <x:v>RAM001</x:v>
      </x:c>
      <x:c r="F48" s="11" t="str">
        <x:f>VLOOKUP(E48,'danh-muc-linh-kien'!$A$2:$D$9,2,FALSE)</x:f>
        <x:v>RAM DDR4 8 GB</x:v>
      </x:c>
      <x:c r="G48" s="12" t="n">
        <x:f>VLOOKUP(E48,'danh-muc-linh-kien'!$A$2:$D$9,3,FALSE)</x:f>
        <x:v>450000</x:v>
      </x:c>
      <x:c r="H48" s="11" t="str">
        <x:f>VLOOKUP(E48,'danh-muc-linh-kien'!$A$2:$D$9,4,FALSE)</x:f>
        <x:v>Khong ap dung</x:v>
      </x:c>
      <x:c r="I48" s="11" t="n">
        <x:f>COUNTIFS('danh-muc-linh-kien'!$A$2:$A$9,E48)</x:f>
        <x:v>1</x:v>
      </x:c>
    </x:row>
    <x:row r="49" ht="25" customHeight="1">
      <x:c r="A49" s="9" t="str">
        <x:v>TRAM016</x:v>
      </x:c>
      <x:c r="B49" s="9" t="str">
        <x:v>HDD002</x:v>
      </x:c>
      <x:c r="C49" s="9" t="n">
        <x:v>8</x:v>
      </x:c>
      <x:c r="D49" s="10" t="n">
        <x:v>46296</x:v>
      </x:c>
      <x:c r="E49" s="11" t="str">
        <x:f>TRIM(B49)</x:f>
        <x:v>HDD002</x:v>
      </x:c>
      <x:c r="F49" s="11" t="str">
        <x:f>VLOOKUP(E49,'danh-muc-linh-kien'!$A$2:$D$9,2,FALSE)</x:f>
        <x:v>HDD SATA 2 TB</x:v>
      </x:c>
      <x:c r="G49" s="12" t="n">
        <x:f>VLOOKUP(E49,'danh-muc-linh-kien'!$A$2:$D$9,3,FALSE)</x:f>
        <x:v>1600000</x:v>
      </x:c>
      <x:c r="H49" s="11" t="str">
        <x:f>VLOOKUP(E49,'danh-muc-linh-kien'!$A$2:$D$9,4,FALSE)</x:f>
        <x:v>HDD</x:v>
      </x:c>
      <x:c r="I49" s="11" t="n">
        <x:f>COUNTIFS('danh-muc-linh-kien'!$A$2:$A$9,E49)</x:f>
        <x:v>1</x:v>
      </x:c>
    </x:row>
    <x:row r="50" ht="25" customHeight="1">
      <x:c r="A50" s="9" t="str">
        <x:v>TRAM017</x:v>
      </x:c>
      <x:c r="B50" s="9" t="str">
        <x:v>CPU002</x:v>
      </x:c>
      <x:c r="C50" s="9" t="n">
        <x:v>16</x:v>
      </x:c>
      <x:c r="D50" s="10" t="n">
        <x:v>46296</x:v>
      </x:c>
      <x:c r="E50" s="11" t="str">
        <x:f>TRIM(B50)</x:f>
        <x:v>CPU002</x:v>
      </x:c>
      <x:c r="F50" s="11" t="str">
        <x:f>VLOOKUP(E50,'danh-muc-linh-kien'!$A$2:$D$9,2,FALSE)</x:f>
        <x:v>CPU AMD Ryzen 5 5600</x:v>
      </x:c>
      <x:c r="G50" s="12" t="n">
        <x:f>VLOOKUP(E50,'danh-muc-linh-kien'!$A$2:$D$9,3,FALSE)</x:f>
        <x:v>2800000</x:v>
      </x:c>
      <x:c r="H50" s="11" t="str">
        <x:f>VLOOKUP(E50,'danh-muc-linh-kien'!$A$2:$D$9,4,FALSE)</x:f>
        <x:v>Khong ap dung</x:v>
      </x:c>
      <x:c r="I50" s="11" t="n">
        <x:f>COUNTIFS('danh-muc-linh-kien'!$A$2:$A$9,E50)</x:f>
        <x:v>1</x:v>
      </x:c>
    </x:row>
    <x:row r="51" ht="25" customHeight="1">
      <x:c r="A51" s="9" t="str">
        <x:v>TRAM017</x:v>
      </x:c>
      <x:c r="B51" s="9" t="str">
        <x:v>RAM002</x:v>
      </x:c>
      <x:c r="C51" s="9" t="n">
        <x:v>16</x:v>
      </x:c>
      <x:c r="D51" s="10" t="n">
        <x:v>46296</x:v>
      </x:c>
      <x:c r="E51" s="11" t="str">
        <x:f>TRIM(B51)</x:f>
        <x:v>RAM002</x:v>
      </x:c>
      <x:c r="F51" s="11" t="str">
        <x:f>VLOOKUP(E51,'danh-muc-linh-kien'!$A$2:$D$9,2,FALSE)</x:f>
        <x:v>RAM DDR4 16 GB</x:v>
      </x:c>
      <x:c r="G51" s="12" t="n">
        <x:f>VLOOKUP(E51,'danh-muc-linh-kien'!$A$2:$D$9,3,FALSE)</x:f>
        <x:v>850000</x:v>
      </x:c>
      <x:c r="H51" s="11" t="str">
        <x:f>VLOOKUP(E51,'danh-muc-linh-kien'!$A$2:$D$9,4,FALSE)</x:f>
        <x:v>Khong ap dung</x:v>
      </x:c>
      <x:c r="I51" s="11" t="n">
        <x:f>COUNTIFS('danh-muc-linh-kien'!$A$2:$A$9,E51)</x:f>
        <x:v>1</x:v>
      </x:c>
    </x:row>
    <x:row r="52" ht="25" customHeight="1">
      <x:c r="A52" s="9" t="str">
        <x:v>TRAM017</x:v>
      </x:c>
      <x:c r="B52" s="9" t="str">
        <x:v>SSD001</x:v>
      </x:c>
      <x:c r="C52" s="9" t="n">
        <x:v>16</x:v>
      </x:c>
      <x:c r="D52" s="10" t="n">
        <x:v>46296</x:v>
      </x:c>
      <x:c r="E52" s="11" t="str">
        <x:f>TRIM(B52)</x:f>
        <x:v>SSD001</x:v>
      </x:c>
      <x:c r="F52" s="11" t="str">
        <x:f>VLOOKUP(E52,'danh-muc-linh-kien'!$A$2:$D$9,2,FALSE)</x:f>
        <x:v>SSD SATA 256 GB</x:v>
      </x:c>
      <x:c r="G52" s="12" t="n">
        <x:f>VLOOKUP(E52,'danh-muc-linh-kien'!$A$2:$D$9,3,FALSE)</x:f>
        <x:v>500000</x:v>
      </x:c>
      <x:c r="H52" s="11" t="str">
        <x:f>VLOOKUP(E52,'danh-muc-linh-kien'!$A$2:$D$9,4,FALSE)</x:f>
        <x:v>SSD</x:v>
      </x:c>
      <x:c r="I52" s="11" t="n">
        <x:f>COUNTIFS('danh-muc-linh-kien'!$A$2:$A$9,E52)</x:f>
        <x:v>1</x:v>
      </x:c>
    </x:row>
    <x:row r="53" ht="25" customHeight="1">
      <x:c r="A53" s="9" t="str">
        <x:v>TRAM018</x:v>
      </x:c>
      <x:c r="B53" s="9" t="str">
        <x:v>CPU001</x:v>
      </x:c>
      <x:c r="C53" s="9" t="n">
        <x:v>8</x:v>
      </x:c>
      <x:c r="D53" s="10" t="n">
        <x:v>46296</x:v>
      </x:c>
      <x:c r="E53" s="11" t="str">
        <x:f>TRIM(B53)</x:f>
        <x:v>CPU001</x:v>
      </x:c>
      <x:c r="F53" s="11" t="str">
        <x:f>VLOOKUP(E53,'danh-muc-linh-kien'!$A$2:$D$9,2,FALSE)</x:f>
        <x:v>CPU Intel Core i5 12400</x:v>
      </x:c>
      <x:c r="G53" s="12" t="n">
        <x:f>VLOOKUP(E53,'danh-muc-linh-kien'!$A$2:$D$9,3,FALSE)</x:f>
        <x:v>3500000</x:v>
      </x:c>
      <x:c r="H53" s="11" t="str">
        <x:f>VLOOKUP(E53,'danh-muc-linh-kien'!$A$2:$D$9,4,FALSE)</x:f>
        <x:v>Khong ap dung</x:v>
      </x:c>
      <x:c r="I53" s="11" t="n">
        <x:f>COUNTIFS('danh-muc-linh-kien'!$A$2:$A$9,E53)</x:f>
        <x:v>1</x:v>
      </x:c>
    </x:row>
    <x:row r="54" ht="25" customHeight="1">
      <x:c r="A54" s="9" t="str">
        <x:v>TRAM018</x:v>
      </x:c>
      <x:c r="B54" s="9" t="str">
        <x:v>RAM001</x:v>
      </x:c>
      <x:c r="C54" s="9" t="n">
        <x:v>8</x:v>
      </x:c>
      <x:c r="D54" s="10" t="n">
        <x:v>46296</x:v>
      </x:c>
      <x:c r="E54" s="11" t="str">
        <x:f>TRIM(B54)</x:f>
        <x:v>RAM001</x:v>
      </x:c>
      <x:c r="F54" s="11" t="str">
        <x:f>VLOOKUP(E54,'danh-muc-linh-kien'!$A$2:$D$9,2,FALSE)</x:f>
        <x:v>RAM DDR4 8 GB</x:v>
      </x:c>
      <x:c r="G54" s="12" t="n">
        <x:f>VLOOKUP(E54,'danh-muc-linh-kien'!$A$2:$D$9,3,FALSE)</x:f>
        <x:v>450000</x:v>
      </x:c>
      <x:c r="H54" s="11" t="str">
        <x:f>VLOOKUP(E54,'danh-muc-linh-kien'!$A$2:$D$9,4,FALSE)</x:f>
        <x:v>Khong ap dung</x:v>
      </x:c>
      <x:c r="I54" s="11" t="n">
        <x:f>COUNTIFS('danh-muc-linh-kien'!$A$2:$A$9,E54)</x:f>
        <x:v>1</x:v>
      </x:c>
    </x:row>
    <x:row r="55" ht="25" customHeight="1">
      <x:c r="A55" s="9" t="str">
        <x:v>TRAM018</x:v>
      </x:c>
      <x:c r="B55" s="9" t="str">
        <x:v>SSD002</x:v>
      </x:c>
      <x:c r="C55" s="9" t="n">
        <x:v>8</x:v>
      </x:c>
      <x:c r="D55" s="10" t="n">
        <x:v>46296</x:v>
      </x:c>
      <x:c r="E55" s="11" t="str">
        <x:f>TRIM(B55)</x:f>
        <x:v>SSD002</x:v>
      </x:c>
      <x:c r="F55" s="11" t="str">
        <x:f>VLOOKUP(E55,'danh-muc-linh-kien'!$A$2:$D$9,2,FALSE)</x:f>
        <x:v>SSD NVMe 512 GB</x:v>
      </x:c>
      <x:c r="G55" s="12" t="n">
        <x:f>VLOOKUP(E55,'danh-muc-linh-kien'!$A$2:$D$9,3,FALSE)</x:f>
        <x:v>900000</x:v>
      </x:c>
      <x:c r="H55" s="11" t="str">
        <x:f>VLOOKUP(E55,'danh-muc-linh-kien'!$A$2:$D$9,4,FALSE)</x:f>
        <x:v>SSD</x:v>
      </x:c>
      <x:c r="I55" s="11" t="n">
        <x:f>COUNTIFS('danh-muc-linh-kien'!$A$2:$A$9,E55)</x:f>
        <x:v>1</x:v>
      </x:c>
    </x:row>
    <x:row r="56" ht="25" customHeight="1">
      <x:c r="A56" s="9" t="str">
        <x:v>TRAM019</x:v>
      </x:c>
      <x:c r="B56" s="9" t="str">
        <x:v>CPU002</x:v>
      </x:c>
      <x:c r="C56" s="9" t="n">
        <x:v>16</x:v>
      </x:c>
      <x:c r="D56" s="10" t="n">
        <x:v>46296</x:v>
      </x:c>
      <x:c r="E56" s="11" t="str">
        <x:f>TRIM(B56)</x:f>
        <x:v>CPU002</x:v>
      </x:c>
      <x:c r="F56" s="11" t="str">
        <x:f>VLOOKUP(E56,'danh-muc-linh-kien'!$A$2:$D$9,2,FALSE)</x:f>
        <x:v>CPU AMD Ryzen 5 5600</x:v>
      </x:c>
      <x:c r="G56" s="12" t="n">
        <x:f>VLOOKUP(E56,'danh-muc-linh-kien'!$A$2:$D$9,3,FALSE)</x:f>
        <x:v>2800000</x:v>
      </x:c>
      <x:c r="H56" s="11" t="str">
        <x:f>VLOOKUP(E56,'danh-muc-linh-kien'!$A$2:$D$9,4,FALSE)</x:f>
        <x:v>Khong ap dung</x:v>
      </x:c>
      <x:c r="I56" s="11" t="n">
        <x:f>COUNTIFS('danh-muc-linh-kien'!$A$2:$A$9,E56)</x:f>
        <x:v>1</x:v>
      </x:c>
    </x:row>
    <x:row r="57" ht="25" customHeight="1">
      <x:c r="A57" s="9" t="str">
        <x:v>TRAM019</x:v>
      </x:c>
      <x:c r="B57" s="9" t="str">
        <x:v>RAM002</x:v>
      </x:c>
      <x:c r="C57" s="9" t="n">
        <x:v>16</x:v>
      </x:c>
      <x:c r="D57" s="10" t="n">
        <x:v>46296</x:v>
      </x:c>
      <x:c r="E57" s="11" t="str">
        <x:f>TRIM(B57)</x:f>
        <x:v>RAM002</x:v>
      </x:c>
      <x:c r="F57" s="11" t="str">
        <x:f>VLOOKUP(E57,'danh-muc-linh-kien'!$A$2:$D$9,2,FALSE)</x:f>
        <x:v>RAM DDR4 16 GB</x:v>
      </x:c>
      <x:c r="G57" s="12" t="n">
        <x:f>VLOOKUP(E57,'danh-muc-linh-kien'!$A$2:$D$9,3,FALSE)</x:f>
        <x:v>850000</x:v>
      </x:c>
      <x:c r="H57" s="11" t="str">
        <x:f>VLOOKUP(E57,'danh-muc-linh-kien'!$A$2:$D$9,4,FALSE)</x:f>
        <x:v>Khong ap dung</x:v>
      </x:c>
      <x:c r="I57" s="11" t="n">
        <x:f>COUNTIFS('danh-muc-linh-kien'!$A$2:$A$9,E57)</x:f>
        <x:v>1</x:v>
      </x:c>
    </x:row>
    <x:row r="58" ht="25" customHeight="1">
      <x:c r="A58" s="9" t="str">
        <x:v>TRAM019</x:v>
      </x:c>
      <x:c r="B58" s="9" t="str">
        <x:v>HDD001</x:v>
      </x:c>
      <x:c r="C58" s="9" t="n">
        <x:v>16</x:v>
      </x:c>
      <x:c r="D58" s="10" t="n">
        <x:v>46296</x:v>
      </x:c>
      <x:c r="E58" s="11" t="str">
        <x:f>TRIM(B58)</x:f>
        <x:v>HDD001</x:v>
      </x:c>
      <x:c r="F58" s="11" t="str">
        <x:f>VLOOKUP(E58,'danh-muc-linh-kien'!$A$2:$D$9,2,FALSE)</x:f>
        <x:v>HDD SATA 1 TB</x:v>
      </x:c>
      <x:c r="G58" s="12" t="n">
        <x:f>VLOOKUP(E58,'danh-muc-linh-kien'!$A$2:$D$9,3,FALSE)</x:f>
        <x:v>1100000</x:v>
      </x:c>
      <x:c r="H58" s="11" t="str">
        <x:f>VLOOKUP(E58,'danh-muc-linh-kien'!$A$2:$D$9,4,FALSE)</x:f>
        <x:v>HDD</x:v>
      </x:c>
      <x:c r="I58" s="11" t="n">
        <x:f>COUNTIFS('danh-muc-linh-kien'!$A$2:$A$9,E58)</x:f>
        <x:v>1</x:v>
      </x:c>
    </x:row>
    <x:row r="59" ht="25" customHeight="1">
      <x:c r="A59" s="9" t="str">
        <x:v>TRAM020</x:v>
      </x:c>
      <x:c r="B59" s="9" t="str">
        <x:v>  CPU001  </x:v>
      </x:c>
      <x:c r="C59" s="9" t="n">
        <x:v>8</x:v>
      </x:c>
      <x:c r="D59" s="10" t="n">
        <x:v>46296</x:v>
      </x:c>
      <x:c r="E59" s="11" t="str">
        <x:f>TRIM(B59)</x:f>
        <x:v>CPU001</x:v>
      </x:c>
      <x:c r="F59" s="11" t="str">
        <x:f>VLOOKUP(E59,'danh-muc-linh-kien'!$A$2:$D$9,2,FALSE)</x:f>
        <x:v>CPU Intel Core i5 12400</x:v>
      </x:c>
      <x:c r="G59" s="12" t="n">
        <x:f>VLOOKUP(E59,'danh-muc-linh-kien'!$A$2:$D$9,3,FALSE)</x:f>
        <x:v>3500000</x:v>
      </x:c>
      <x:c r="H59" s="11" t="str">
        <x:f>VLOOKUP(E59,'danh-muc-linh-kien'!$A$2:$D$9,4,FALSE)</x:f>
        <x:v>Khong ap dung</x:v>
      </x:c>
      <x:c r="I59" s="11" t="n">
        <x:f>COUNTIFS('danh-muc-linh-kien'!$A$2:$A$9,E59)</x:f>
        <x:v>1</x:v>
      </x:c>
    </x:row>
    <x:row r="60" ht="25" customHeight="1">
      <x:c r="A60" s="9" t="str">
        <x:v>TRAM020</x:v>
      </x:c>
      <x:c r="B60" s="9" t="str">
        <x:v>  RAM001  </x:v>
      </x:c>
      <x:c r="C60" s="9" t="n">
        <x:v>8</x:v>
      </x:c>
      <x:c r="D60" s="10" t="n">
        <x:v>46296</x:v>
      </x:c>
      <x:c r="E60" s="11" t="str">
        <x:f>TRIM(B60)</x:f>
        <x:v>RAM001</x:v>
      </x:c>
      <x:c r="F60" s="11" t="str">
        <x:f>VLOOKUP(E60,'danh-muc-linh-kien'!$A$2:$D$9,2,FALSE)</x:f>
        <x:v>RAM DDR4 8 GB</x:v>
      </x:c>
      <x:c r="G60" s="12" t="n">
        <x:f>VLOOKUP(E60,'danh-muc-linh-kien'!$A$2:$D$9,3,FALSE)</x:f>
        <x:v>450000</x:v>
      </x:c>
      <x:c r="H60" s="11" t="str">
        <x:f>VLOOKUP(E60,'danh-muc-linh-kien'!$A$2:$D$9,4,FALSE)</x:f>
        <x:v>Khong ap dung</x:v>
      </x:c>
      <x:c r="I60" s="11" t="n">
        <x:f>COUNTIFS('danh-muc-linh-kien'!$A$2:$A$9,E60)</x:f>
        <x:v>1</x:v>
      </x:c>
    </x:row>
    <x:row r="61" ht="25" customHeight="1">
      <x:c r="A61" s="9" t="str">
        <x:v>TRAM020</x:v>
      </x:c>
      <x:c r="B61" s="9" t="str">
        <x:v>  HDD002  </x:v>
      </x:c>
      <x:c r="C61" s="9" t="n">
        <x:v>8</x:v>
      </x:c>
      <x:c r="D61" s="10" t="n">
        <x:v>46296</x:v>
      </x:c>
      <x:c r="E61" s="11" t="str">
        <x:f>TRIM(B61)</x:f>
        <x:v>HDD002</x:v>
      </x:c>
      <x:c r="F61" s="11" t="str">
        <x:f>VLOOKUP(E61,'danh-muc-linh-kien'!$A$2:$D$9,2,FALSE)</x:f>
        <x:v>HDD SATA 2 TB</x:v>
      </x:c>
      <x:c r="G61" s="12" t="n">
        <x:f>VLOOKUP(E61,'danh-muc-linh-kien'!$A$2:$D$9,3,FALSE)</x:f>
        <x:v>1600000</x:v>
      </x:c>
      <x:c r="H61" s="11" t="str">
        <x:f>VLOOKUP(E61,'danh-muc-linh-kien'!$A$2:$D$9,4,FALSE)</x:f>
        <x:v>HDD</x:v>
      </x:c>
      <x:c r="I61" s="11" t="n">
        <x:f>COUNTIFS('danh-muc-linh-kien'!$A$2:$A$9,E61)</x:f>
        <x:v>1</x:v>
      </x:c>
    </x:row>
    <x:row r="62" ht="25" customHeight="1">
      <x:c r="A62" s="9" t="str">
        <x:v>TRAM021</x:v>
      </x:c>
      <x:c r="B62" s="9" t="str">
        <x:v>CPU002</x:v>
      </x:c>
      <x:c r="C62" s="9" t="n">
        <x:v>16</x:v>
      </x:c>
      <x:c r="D62" s="10" t="n">
        <x:v>46296</x:v>
      </x:c>
      <x:c r="E62" s="11" t="str">
        <x:f>TRIM(B62)</x:f>
        <x:v>CPU002</x:v>
      </x:c>
      <x:c r="F62" s="11" t="str">
        <x:f>VLOOKUP(E62,'danh-muc-linh-kien'!$A$2:$D$9,2,FALSE)</x:f>
        <x:v>CPU AMD Ryzen 5 5600</x:v>
      </x:c>
      <x:c r="G62" s="12" t="n">
        <x:f>VLOOKUP(E62,'danh-muc-linh-kien'!$A$2:$D$9,3,FALSE)</x:f>
        <x:v>2800000</x:v>
      </x:c>
      <x:c r="H62" s="11" t="str">
        <x:f>VLOOKUP(E62,'danh-muc-linh-kien'!$A$2:$D$9,4,FALSE)</x:f>
        <x:v>Khong ap dung</x:v>
      </x:c>
      <x:c r="I62" s="11" t="n">
        <x:f>COUNTIFS('danh-muc-linh-kien'!$A$2:$A$9,E62)</x:f>
        <x:v>1</x:v>
      </x:c>
    </x:row>
    <x:row r="63" ht="25" customHeight="1">
      <x:c r="A63" s="9" t="str">
        <x:v>TRAM021</x:v>
      </x:c>
      <x:c r="B63" s="9" t="str">
        <x:v>RAM002</x:v>
      </x:c>
      <x:c r="C63" s="9" t="n">
        <x:v>16</x:v>
      </x:c>
      <x:c r="D63" s="10" t="n">
        <x:v>46296</x:v>
      </x:c>
      <x:c r="E63" s="11" t="str">
        <x:f>TRIM(B63)</x:f>
        <x:v>RAM002</x:v>
      </x:c>
      <x:c r="F63" s="11" t="str">
        <x:f>VLOOKUP(E63,'danh-muc-linh-kien'!$A$2:$D$9,2,FALSE)</x:f>
        <x:v>RAM DDR4 16 GB</x:v>
      </x:c>
      <x:c r="G63" s="12" t="n">
        <x:f>VLOOKUP(E63,'danh-muc-linh-kien'!$A$2:$D$9,3,FALSE)</x:f>
        <x:v>850000</x:v>
      </x:c>
      <x:c r="H63" s="11" t="str">
        <x:f>VLOOKUP(E63,'danh-muc-linh-kien'!$A$2:$D$9,4,FALSE)</x:f>
        <x:v>Khong ap dung</x:v>
      </x:c>
      <x:c r="I63" s="11" t="n">
        <x:f>COUNTIFS('danh-muc-linh-kien'!$A$2:$A$9,E63)</x:f>
        <x:v>1</x:v>
      </x:c>
    </x:row>
    <x:row r="64" ht="25" customHeight="1">
      <x:c r="A64" s="9" t="str">
        <x:v>TRAM021</x:v>
      </x:c>
      <x:c r="B64" s="9" t="str">
        <x:v>SSD001</x:v>
      </x:c>
      <x:c r="C64" s="9" t="n">
        <x:v>16</x:v>
      </x:c>
      <x:c r="D64" s="10" t="n">
        <x:v>46296</x:v>
      </x:c>
      <x:c r="E64" s="11" t="str">
        <x:f>TRIM(B64)</x:f>
        <x:v>SSD001</x:v>
      </x:c>
      <x:c r="F64" s="11" t="str">
        <x:f>VLOOKUP(E64,'danh-muc-linh-kien'!$A$2:$D$9,2,FALSE)</x:f>
        <x:v>SSD SATA 256 GB</x:v>
      </x:c>
      <x:c r="G64" s="12" t="n">
        <x:f>VLOOKUP(E64,'danh-muc-linh-kien'!$A$2:$D$9,3,FALSE)</x:f>
        <x:v>500000</x:v>
      </x:c>
      <x:c r="H64" s="11" t="str">
        <x:f>VLOOKUP(E64,'danh-muc-linh-kien'!$A$2:$D$9,4,FALSE)</x:f>
        <x:v>SSD</x:v>
      </x:c>
      <x:c r="I64" s="11" t="n">
        <x:f>COUNTIFS('danh-muc-linh-kien'!$A$2:$A$9,E64)</x:f>
        <x:v>1</x:v>
      </x:c>
    </x:row>
    <x:row r="65" ht="25" customHeight="1">
      <x:c r="A65" s="9" t="str">
        <x:v>TRAM022</x:v>
      </x:c>
      <x:c r="B65" s="9" t="str">
        <x:v>CPU001</x:v>
      </x:c>
      <x:c r="C65" s="9" t="n">
        <x:v>8</x:v>
      </x:c>
      <x:c r="D65" s="10" t="n">
        <x:v>46296</x:v>
      </x:c>
      <x:c r="E65" s="11" t="str">
        <x:f>TRIM(B65)</x:f>
        <x:v>CPU001</x:v>
      </x:c>
      <x:c r="F65" s="11" t="str">
        <x:f>VLOOKUP(E65,'danh-muc-linh-kien'!$A$2:$D$9,2,FALSE)</x:f>
        <x:v>CPU Intel Core i5 12400</x:v>
      </x:c>
      <x:c r="G65" s="12" t="n">
        <x:f>VLOOKUP(E65,'danh-muc-linh-kien'!$A$2:$D$9,3,FALSE)</x:f>
        <x:v>3500000</x:v>
      </x:c>
      <x:c r="H65" s="11" t="str">
        <x:f>VLOOKUP(E65,'danh-muc-linh-kien'!$A$2:$D$9,4,FALSE)</x:f>
        <x:v>Khong ap dung</x:v>
      </x:c>
      <x:c r="I65" s="11" t="n">
        <x:f>COUNTIFS('danh-muc-linh-kien'!$A$2:$A$9,E65)</x:f>
        <x:v>1</x:v>
      </x:c>
    </x:row>
    <x:row r="66" ht="25" customHeight="1">
      <x:c r="A66" s="9" t="str">
        <x:v>TRAM022</x:v>
      </x:c>
      <x:c r="B66" s="9" t="str">
        <x:v>RAM001</x:v>
      </x:c>
      <x:c r="C66" s="9" t="n">
        <x:v>8</x:v>
      </x:c>
      <x:c r="D66" s="10" t="n">
        <x:v>46296</x:v>
      </x:c>
      <x:c r="E66" s="11" t="str">
        <x:f>TRIM(B66)</x:f>
        <x:v>RAM001</x:v>
      </x:c>
      <x:c r="F66" s="11" t="str">
        <x:f>VLOOKUP(E66,'danh-muc-linh-kien'!$A$2:$D$9,2,FALSE)</x:f>
        <x:v>RAM DDR4 8 GB</x:v>
      </x:c>
      <x:c r="G66" s="12" t="n">
        <x:f>VLOOKUP(E66,'danh-muc-linh-kien'!$A$2:$D$9,3,FALSE)</x:f>
        <x:v>450000</x:v>
      </x:c>
      <x:c r="H66" s="11" t="str">
        <x:f>VLOOKUP(E66,'danh-muc-linh-kien'!$A$2:$D$9,4,FALSE)</x:f>
        <x:v>Khong ap dung</x:v>
      </x:c>
      <x:c r="I66" s="11" t="n">
        <x:f>COUNTIFS('danh-muc-linh-kien'!$A$2:$A$9,E66)</x:f>
        <x:v>1</x:v>
      </x:c>
    </x:row>
    <x:row r="67" ht="25" customHeight="1">
      <x:c r="A67" s="9" t="str">
        <x:v>TRAM022</x:v>
      </x:c>
      <x:c r="B67" s="9" t="str">
        <x:v>SSD002</x:v>
      </x:c>
      <x:c r="C67" s="9" t="n">
        <x:v>8</x:v>
      </x:c>
      <x:c r="D67" s="10" t="n">
        <x:v>46296</x:v>
      </x:c>
      <x:c r="E67" s="11" t="str">
        <x:f>TRIM(B67)</x:f>
        <x:v>SSD002</x:v>
      </x:c>
      <x:c r="F67" s="11" t="str">
        <x:f>VLOOKUP(E67,'danh-muc-linh-kien'!$A$2:$D$9,2,FALSE)</x:f>
        <x:v>SSD NVMe 512 GB</x:v>
      </x:c>
      <x:c r="G67" s="12" t="n">
        <x:f>VLOOKUP(E67,'danh-muc-linh-kien'!$A$2:$D$9,3,FALSE)</x:f>
        <x:v>900000</x:v>
      </x:c>
      <x:c r="H67" s="11" t="str">
        <x:f>VLOOKUP(E67,'danh-muc-linh-kien'!$A$2:$D$9,4,FALSE)</x:f>
        <x:v>SSD</x:v>
      </x:c>
      <x:c r="I67" s="11" t="n">
        <x:f>COUNTIFS('danh-muc-linh-kien'!$A$2:$A$9,E67)</x:f>
        <x:v>1</x:v>
      </x:c>
    </x:row>
    <x:row r="68" ht="25" customHeight="1">
      <x:c r="A68" s="9" t="str">
        <x:v>TRAM023</x:v>
      </x:c>
      <x:c r="B68" s="9" t="str">
        <x:v>CPU002</x:v>
      </x:c>
      <x:c r="C68" s="9" t="n">
        <x:v>16</x:v>
      </x:c>
      <x:c r="D68" s="10" t="n">
        <x:v>46296</x:v>
      </x:c>
      <x:c r="E68" s="11" t="str">
        <x:f>TRIM(B68)</x:f>
        <x:v>CPU002</x:v>
      </x:c>
      <x:c r="F68" s="11" t="str">
        <x:f>VLOOKUP(E68,'danh-muc-linh-kien'!$A$2:$D$9,2,FALSE)</x:f>
        <x:v>CPU AMD Ryzen 5 5600</x:v>
      </x:c>
      <x:c r="G68" s="12" t="n">
        <x:f>VLOOKUP(E68,'danh-muc-linh-kien'!$A$2:$D$9,3,FALSE)</x:f>
        <x:v>2800000</x:v>
      </x:c>
      <x:c r="H68" s="11" t="str">
        <x:f>VLOOKUP(E68,'danh-muc-linh-kien'!$A$2:$D$9,4,FALSE)</x:f>
        <x:v>Khong ap dung</x:v>
      </x:c>
      <x:c r="I68" s="11" t="n">
        <x:f>COUNTIFS('danh-muc-linh-kien'!$A$2:$A$9,E68)</x:f>
        <x:v>1</x:v>
      </x:c>
    </x:row>
    <x:row r="69" ht="25" customHeight="1">
      <x:c r="A69" s="9" t="str">
        <x:v>TRAM023</x:v>
      </x:c>
      <x:c r="B69" s="9" t="str">
        <x:v>RAM002</x:v>
      </x:c>
      <x:c r="C69" s="9" t="n">
        <x:v>16</x:v>
      </x:c>
      <x:c r="D69" s="10" t="n">
        <x:v>46296</x:v>
      </x:c>
      <x:c r="E69" s="11" t="str">
        <x:f>TRIM(B69)</x:f>
        <x:v>RAM002</x:v>
      </x:c>
      <x:c r="F69" s="11" t="str">
        <x:f>VLOOKUP(E69,'danh-muc-linh-kien'!$A$2:$D$9,2,FALSE)</x:f>
        <x:v>RAM DDR4 16 GB</x:v>
      </x:c>
      <x:c r="G69" s="12" t="n">
        <x:f>VLOOKUP(E69,'danh-muc-linh-kien'!$A$2:$D$9,3,FALSE)</x:f>
        <x:v>850000</x:v>
      </x:c>
      <x:c r="H69" s="11" t="str">
        <x:f>VLOOKUP(E69,'danh-muc-linh-kien'!$A$2:$D$9,4,FALSE)</x:f>
        <x:v>Khong ap dung</x:v>
      </x:c>
      <x:c r="I69" s="11" t="n">
        <x:f>COUNTIFS('danh-muc-linh-kien'!$A$2:$A$9,E69)</x:f>
        <x:v>1</x:v>
      </x:c>
    </x:row>
    <x:row r="70" ht="25" customHeight="1">
      <x:c r="A70" s="9" t="str">
        <x:v>TRAM023</x:v>
      </x:c>
      <x:c r="B70" s="9" t="str">
        <x:v>HDD001</x:v>
      </x:c>
      <x:c r="C70" s="9" t="n">
        <x:v>16</x:v>
      </x:c>
      <x:c r="D70" s="10" t="n">
        <x:v>46296</x:v>
      </x:c>
      <x:c r="E70" s="11" t="str">
        <x:f>TRIM(B70)</x:f>
        <x:v>HDD001</x:v>
      </x:c>
      <x:c r="F70" s="11" t="str">
        <x:f>VLOOKUP(E70,'danh-muc-linh-kien'!$A$2:$D$9,2,FALSE)</x:f>
        <x:v>HDD SATA 1 TB</x:v>
      </x:c>
      <x:c r="G70" s="12" t="n">
        <x:f>VLOOKUP(E70,'danh-muc-linh-kien'!$A$2:$D$9,3,FALSE)</x:f>
        <x:v>1100000</x:v>
      </x:c>
      <x:c r="H70" s="11" t="str">
        <x:f>VLOOKUP(E70,'danh-muc-linh-kien'!$A$2:$D$9,4,FALSE)</x:f>
        <x:v>HDD</x:v>
      </x:c>
      <x:c r="I70" s="11" t="n">
        <x:f>COUNTIFS('danh-muc-linh-kien'!$A$2:$A$9,E70)</x:f>
        <x:v>1</x:v>
      </x:c>
    </x:row>
    <x:row r="71" ht="25" customHeight="1">
      <x:c r="A71" s="9" t="str">
        <x:v>TRAM024</x:v>
      </x:c>
      <x:c r="B71" s="9" t="str">
        <x:v>CPU001</x:v>
      </x:c>
      <x:c r="C71" s="9" t="n">
        <x:v>8</x:v>
      </x:c>
      <x:c r="D71" s="10" t="n">
        <x:v>46296</x:v>
      </x:c>
      <x:c r="E71" s="11" t="str">
        <x:f>TRIM(B71)</x:f>
        <x:v>CPU001</x:v>
      </x:c>
      <x:c r="F71" s="11" t="str">
        <x:f>VLOOKUP(E71,'danh-muc-linh-kien'!$A$2:$D$9,2,FALSE)</x:f>
        <x:v>CPU Intel Core i5 12400</x:v>
      </x:c>
      <x:c r="G71" s="12" t="n">
        <x:f>VLOOKUP(E71,'danh-muc-linh-kien'!$A$2:$D$9,3,FALSE)</x:f>
        <x:v>3500000</x:v>
      </x:c>
      <x:c r="H71" s="11" t="str">
        <x:f>VLOOKUP(E71,'danh-muc-linh-kien'!$A$2:$D$9,4,FALSE)</x:f>
        <x:v>Khong ap dung</x:v>
      </x:c>
      <x:c r="I71" s="11" t="n">
        <x:f>COUNTIFS('danh-muc-linh-kien'!$A$2:$A$9,E71)</x:f>
        <x:v>1</x:v>
      </x:c>
    </x:row>
    <x:row r="72" ht="25" customHeight="1">
      <x:c r="A72" s="9" t="str">
        <x:v>TRAM024</x:v>
      </x:c>
      <x:c r="B72" s="9" t="str">
        <x:v>RAM001</x:v>
      </x:c>
      <x:c r="C72" s="9" t="n">
        <x:v>8</x:v>
      </x:c>
      <x:c r="D72" s="10" t="n">
        <x:v>46296</x:v>
      </x:c>
      <x:c r="E72" s="11" t="str">
        <x:f>TRIM(B72)</x:f>
        <x:v>RAM001</x:v>
      </x:c>
      <x:c r="F72" s="11" t="str">
        <x:f>VLOOKUP(E72,'danh-muc-linh-kien'!$A$2:$D$9,2,FALSE)</x:f>
        <x:v>RAM DDR4 8 GB</x:v>
      </x:c>
      <x:c r="G72" s="12" t="n">
        <x:f>VLOOKUP(E72,'danh-muc-linh-kien'!$A$2:$D$9,3,FALSE)</x:f>
        <x:v>450000</x:v>
      </x:c>
      <x:c r="H72" s="11" t="str">
        <x:f>VLOOKUP(E72,'danh-muc-linh-kien'!$A$2:$D$9,4,FALSE)</x:f>
        <x:v>Khong ap dung</x:v>
      </x:c>
      <x:c r="I72" s="11" t="n">
        <x:f>COUNTIFS('danh-muc-linh-kien'!$A$2:$A$9,E72)</x:f>
        <x:v>1</x:v>
      </x:c>
    </x:row>
    <x:row r="73" ht="25" customHeight="1">
      <x:c r="A73" s="9" t="str">
        <x:v>TRAM024</x:v>
      </x:c>
      <x:c r="B73" s="9" t="str">
        <x:v>HDD002</x:v>
      </x:c>
      <x:c r="C73" s="9" t="n">
        <x:v>8</x:v>
      </x:c>
      <x:c r="D73" s="10" t="n">
        <x:v>46296</x:v>
      </x:c>
      <x:c r="E73" s="11" t="str">
        <x:f>TRIM(B73)</x:f>
        <x:v>HDD002</x:v>
      </x:c>
      <x:c r="F73" s="11" t="str">
        <x:f>VLOOKUP(E73,'danh-muc-linh-kien'!$A$2:$D$9,2,FALSE)</x:f>
        <x:v>HDD SATA 2 TB</x:v>
      </x:c>
      <x:c r="G73" s="12" t="n">
        <x:f>VLOOKUP(E73,'danh-muc-linh-kien'!$A$2:$D$9,3,FALSE)</x:f>
        <x:v>1600000</x:v>
      </x:c>
      <x:c r="H73" s="11" t="str">
        <x:f>VLOOKUP(E73,'danh-muc-linh-kien'!$A$2:$D$9,4,FALSE)</x:f>
        <x:v>HDD</x:v>
      </x:c>
      <x:c r="I73" s="11" t="n">
        <x:f>COUNTIFS('danh-muc-linh-kien'!$A$2:$A$9,E73)</x:f>
        <x:v>1</x:v>
      </x:c>
    </x:row>
    <x:row r="74" ht="25" customHeight="1">
      <x:c r="A74" s="9" t="str">
        <x:v>TRAM025</x:v>
      </x:c>
      <x:c r="B74" s="9" t="str">
        <x:v>CPU002</x:v>
      </x:c>
      <x:c r="C74" s="9" t="n">
        <x:v>16</x:v>
      </x:c>
      <x:c r="D74" s="10" t="n">
        <x:v>46296</x:v>
      </x:c>
      <x:c r="E74" s="11" t="str">
        <x:f>TRIM(B74)</x:f>
        <x:v>CPU002</x:v>
      </x:c>
      <x:c r="F74" s="11" t="str">
        <x:f>VLOOKUP(E74,'danh-muc-linh-kien'!$A$2:$D$9,2,FALSE)</x:f>
        <x:v>CPU AMD Ryzen 5 5600</x:v>
      </x:c>
      <x:c r="G74" s="12" t="n">
        <x:f>VLOOKUP(E74,'danh-muc-linh-kien'!$A$2:$D$9,3,FALSE)</x:f>
        <x:v>2800000</x:v>
      </x:c>
      <x:c r="H74" s="11" t="str">
        <x:f>VLOOKUP(E74,'danh-muc-linh-kien'!$A$2:$D$9,4,FALSE)</x:f>
        <x:v>Khong ap dung</x:v>
      </x:c>
      <x:c r="I74" s="11" t="n">
        <x:f>COUNTIFS('danh-muc-linh-kien'!$A$2:$A$9,E74)</x:f>
        <x:v>1</x:v>
      </x:c>
    </x:row>
    <x:row r="75" ht="25" customHeight="1">
      <x:c r="A75" s="9" t="str">
        <x:v>TRAM025</x:v>
      </x:c>
      <x:c r="B75" s="9" t="str">
        <x:v>RAM002</x:v>
      </x:c>
      <x:c r="C75" s="9" t="n">
        <x:v>16</x:v>
      </x:c>
      <x:c r="D75" s="10" t="n">
        <x:v>46296</x:v>
      </x:c>
      <x:c r="E75" s="11" t="str">
        <x:f>TRIM(B75)</x:f>
        <x:v>RAM002</x:v>
      </x:c>
      <x:c r="F75" s="11" t="str">
        <x:f>VLOOKUP(E75,'danh-muc-linh-kien'!$A$2:$D$9,2,FALSE)</x:f>
        <x:v>RAM DDR4 16 GB</x:v>
      </x:c>
      <x:c r="G75" s="12" t="n">
        <x:f>VLOOKUP(E75,'danh-muc-linh-kien'!$A$2:$D$9,3,FALSE)</x:f>
        <x:v>850000</x:v>
      </x:c>
      <x:c r="H75" s="11" t="str">
        <x:f>VLOOKUP(E75,'danh-muc-linh-kien'!$A$2:$D$9,4,FALSE)</x:f>
        <x:v>Khong ap dung</x:v>
      </x:c>
      <x:c r="I75" s="11" t="n">
        <x:f>COUNTIFS('danh-muc-linh-kien'!$A$2:$A$9,E75)</x:f>
        <x:v>1</x:v>
      </x:c>
    </x:row>
    <x:row r="76" ht="25" customHeight="1">
      <x:c r="A76" s="9" t="str">
        <x:v>TRAM025</x:v>
      </x:c>
      <x:c r="B76" s="9" t="str">
        <x:v>SSD001</x:v>
      </x:c>
      <x:c r="C76" s="9" t="n">
        <x:v>16</x:v>
      </x:c>
      <x:c r="D76" s="10" t="n">
        <x:v>46296</x:v>
      </x:c>
      <x:c r="E76" s="11" t="str">
        <x:f>TRIM(B76)</x:f>
        <x:v>SSD001</x:v>
      </x:c>
      <x:c r="F76" s="11" t="str">
        <x:f>VLOOKUP(E76,'danh-muc-linh-kien'!$A$2:$D$9,2,FALSE)</x:f>
        <x:v>SSD SATA 256 GB</x:v>
      </x:c>
      <x:c r="G76" s="12" t="n">
        <x:f>VLOOKUP(E76,'danh-muc-linh-kien'!$A$2:$D$9,3,FALSE)</x:f>
        <x:v>500000</x:v>
      </x:c>
      <x:c r="H76" s="11" t="str">
        <x:f>VLOOKUP(E76,'danh-muc-linh-kien'!$A$2:$D$9,4,FALSE)</x:f>
        <x:v>SSD</x:v>
      </x:c>
      <x:c r="I76" s="11" t="n">
        <x:f>COUNTIFS('danh-muc-linh-kien'!$A$2:$A$9,E76)</x:f>
        <x:v>1</x:v>
      </x:c>
    </x:row>
    <x:row r="77" ht="25" customHeight="1">
      <x:c r="A77" s="9" t="str">
        <x:v>TRAM026</x:v>
      </x:c>
      <x:c r="B77" s="9" t="str">
        <x:v>CPU001</x:v>
      </x:c>
      <x:c r="C77" s="9" t="n">
        <x:v>8</x:v>
      </x:c>
      <x:c r="D77" s="10" t="n">
        <x:v>46296</x:v>
      </x:c>
      <x:c r="E77" s="11" t="str">
        <x:f>TRIM(B77)</x:f>
        <x:v>CPU001</x:v>
      </x:c>
      <x:c r="F77" s="11" t="str">
        <x:f>VLOOKUP(E77,'danh-muc-linh-kien'!$A$2:$D$9,2,FALSE)</x:f>
        <x:v>CPU Intel Core i5 12400</x:v>
      </x:c>
      <x:c r="G77" s="12" t="n">
        <x:f>VLOOKUP(E77,'danh-muc-linh-kien'!$A$2:$D$9,3,FALSE)</x:f>
        <x:v>3500000</x:v>
      </x:c>
      <x:c r="H77" s="11" t="str">
        <x:f>VLOOKUP(E77,'danh-muc-linh-kien'!$A$2:$D$9,4,FALSE)</x:f>
        <x:v>Khong ap dung</x:v>
      </x:c>
      <x:c r="I77" s="11" t="n">
        <x:f>COUNTIFS('danh-muc-linh-kien'!$A$2:$A$9,E77)</x:f>
        <x:v>1</x:v>
      </x:c>
    </x:row>
    <x:row r="78" ht="25" customHeight="1">
      <x:c r="A78" s="9" t="str">
        <x:v>TRAM026</x:v>
      </x:c>
      <x:c r="B78" s="9" t="str">
        <x:v>RAM001</x:v>
      </x:c>
      <x:c r="C78" s="9" t="n">
        <x:v>8</x:v>
      </x:c>
      <x:c r="D78" s="10" t="n">
        <x:v>46296</x:v>
      </x:c>
      <x:c r="E78" s="11" t="str">
        <x:f>TRIM(B78)</x:f>
        <x:v>RAM001</x:v>
      </x:c>
      <x:c r="F78" s="11" t="str">
        <x:f>VLOOKUP(E78,'danh-muc-linh-kien'!$A$2:$D$9,2,FALSE)</x:f>
        <x:v>RAM DDR4 8 GB</x:v>
      </x:c>
      <x:c r="G78" s="12" t="n">
        <x:f>VLOOKUP(E78,'danh-muc-linh-kien'!$A$2:$D$9,3,FALSE)</x:f>
        <x:v>450000</x:v>
      </x:c>
      <x:c r="H78" s="11" t="str">
        <x:f>VLOOKUP(E78,'danh-muc-linh-kien'!$A$2:$D$9,4,FALSE)</x:f>
        <x:v>Khong ap dung</x:v>
      </x:c>
      <x:c r="I78" s="11" t="n">
        <x:f>COUNTIFS('danh-muc-linh-kien'!$A$2:$A$9,E78)</x:f>
        <x:v>1</x:v>
      </x:c>
    </x:row>
    <x:row r="79" ht="25" customHeight="1">
      <x:c r="A79" s="9" t="str">
        <x:v>TRAM026</x:v>
      </x:c>
      <x:c r="B79" s="9" t="str">
        <x:v>SSD002</x:v>
      </x:c>
      <x:c r="C79" s="9" t="n">
        <x:v>8</x:v>
      </x:c>
      <x:c r="D79" s="10" t="n">
        <x:v>46296</x:v>
      </x:c>
      <x:c r="E79" s="11" t="str">
        <x:f>TRIM(B79)</x:f>
        <x:v>SSD002</x:v>
      </x:c>
      <x:c r="F79" s="11" t="str">
        <x:f>VLOOKUP(E79,'danh-muc-linh-kien'!$A$2:$D$9,2,FALSE)</x:f>
        <x:v>SSD NVMe 512 GB</x:v>
      </x:c>
      <x:c r="G79" s="12" t="n">
        <x:f>VLOOKUP(E79,'danh-muc-linh-kien'!$A$2:$D$9,3,FALSE)</x:f>
        <x:v>900000</x:v>
      </x:c>
      <x:c r="H79" s="11" t="str">
        <x:f>VLOOKUP(E79,'danh-muc-linh-kien'!$A$2:$D$9,4,FALSE)</x:f>
        <x:v>SSD</x:v>
      </x:c>
      <x:c r="I79" s="11" t="n">
        <x:f>COUNTIFS('danh-muc-linh-kien'!$A$2:$A$9,E79)</x:f>
        <x:v>1</x:v>
      </x:c>
    </x:row>
    <x:row r="80" ht="25" customHeight="1">
      <x:c r="A80" s="9" t="str">
        <x:v>TRAM027</x:v>
      </x:c>
      <x:c r="B80" s="9" t="str">
        <x:v>CPU002</x:v>
      </x:c>
      <x:c r="C80" s="9" t="n">
        <x:v>16</x:v>
      </x:c>
      <x:c r="D80" s="10" t="n">
        <x:v>46296</x:v>
      </x:c>
      <x:c r="E80" s="11" t="str">
        <x:f>TRIM(B80)</x:f>
        <x:v>CPU002</x:v>
      </x:c>
      <x:c r="F80" s="11" t="str">
        <x:f>VLOOKUP(E80,'danh-muc-linh-kien'!$A$2:$D$9,2,FALSE)</x:f>
        <x:v>CPU AMD Ryzen 5 5600</x:v>
      </x:c>
      <x:c r="G80" s="12" t="n">
        <x:f>VLOOKUP(E80,'danh-muc-linh-kien'!$A$2:$D$9,3,FALSE)</x:f>
        <x:v>2800000</x:v>
      </x:c>
      <x:c r="H80" s="11" t="str">
        <x:f>VLOOKUP(E80,'danh-muc-linh-kien'!$A$2:$D$9,4,FALSE)</x:f>
        <x:v>Khong ap dung</x:v>
      </x:c>
      <x:c r="I80" s="11" t="n">
        <x:f>COUNTIFS('danh-muc-linh-kien'!$A$2:$A$9,E80)</x:f>
        <x:v>1</x:v>
      </x:c>
    </x:row>
    <x:row r="81" ht="25" customHeight="1">
      <x:c r="A81" s="9" t="str">
        <x:v>TRAM027</x:v>
      </x:c>
      <x:c r="B81" s="9" t="str">
        <x:v>RAM002</x:v>
      </x:c>
      <x:c r="C81" s="9" t="n">
        <x:v>16</x:v>
      </x:c>
      <x:c r="D81" s="10" t="n">
        <x:v>46296</x:v>
      </x:c>
      <x:c r="E81" s="11" t="str">
        <x:f>TRIM(B81)</x:f>
        <x:v>RAM002</x:v>
      </x:c>
      <x:c r="F81" s="11" t="str">
        <x:f>VLOOKUP(E81,'danh-muc-linh-kien'!$A$2:$D$9,2,FALSE)</x:f>
        <x:v>RAM DDR4 16 GB</x:v>
      </x:c>
      <x:c r="G81" s="12" t="n">
        <x:f>VLOOKUP(E81,'danh-muc-linh-kien'!$A$2:$D$9,3,FALSE)</x:f>
        <x:v>850000</x:v>
      </x:c>
      <x:c r="H81" s="11" t="str">
        <x:f>VLOOKUP(E81,'danh-muc-linh-kien'!$A$2:$D$9,4,FALSE)</x:f>
        <x:v>Khong ap dung</x:v>
      </x:c>
      <x:c r="I81" s="11" t="n">
        <x:f>COUNTIFS('danh-muc-linh-kien'!$A$2:$A$9,E81)</x:f>
        <x:v>1</x:v>
      </x:c>
    </x:row>
    <x:row r="82" ht="25" customHeight="1">
      <x:c r="A82" s="9" t="str">
        <x:v>TRAM027</x:v>
      </x:c>
      <x:c r="B82" s="9" t="str">
        <x:v>HDD001</x:v>
      </x:c>
      <x:c r="C82" s="9" t="n">
        <x:v>16</x:v>
      </x:c>
      <x:c r="D82" s="10" t="n">
        <x:v>46296</x:v>
      </x:c>
      <x:c r="E82" s="11" t="str">
        <x:f>TRIM(B82)</x:f>
        <x:v>HDD001</x:v>
      </x:c>
      <x:c r="F82" s="11" t="str">
        <x:f>VLOOKUP(E82,'danh-muc-linh-kien'!$A$2:$D$9,2,FALSE)</x:f>
        <x:v>HDD SATA 1 TB</x:v>
      </x:c>
      <x:c r="G82" s="12" t="n">
        <x:f>VLOOKUP(E82,'danh-muc-linh-kien'!$A$2:$D$9,3,FALSE)</x:f>
        <x:v>1100000</x:v>
      </x:c>
      <x:c r="H82" s="11" t="str">
        <x:f>VLOOKUP(E82,'danh-muc-linh-kien'!$A$2:$D$9,4,FALSE)</x:f>
        <x:v>HDD</x:v>
      </x:c>
      <x:c r="I82" s="11" t="n">
        <x:f>COUNTIFS('danh-muc-linh-kien'!$A$2:$A$9,E82)</x:f>
        <x:v>1</x:v>
      </x:c>
    </x:row>
    <x:row r="83" ht="25" customHeight="1">
      <x:c r="A83" s="9" t="str">
        <x:v>TRAM028</x:v>
      </x:c>
      <x:c r="B83" s="9" t="str">
        <x:v>CPU001</x:v>
      </x:c>
      <x:c r="C83" s="9" t="n">
        <x:v>8</x:v>
      </x:c>
      <x:c r="D83" s="10" t="n">
        <x:v>46296</x:v>
      </x:c>
      <x:c r="E83" s="11" t="str">
        <x:f>TRIM(B83)</x:f>
        <x:v>CPU001</x:v>
      </x:c>
      <x:c r="F83" s="11" t="str">
        <x:f>VLOOKUP(E83,'danh-muc-linh-kien'!$A$2:$D$9,2,FALSE)</x:f>
        <x:v>CPU Intel Core i5 12400</x:v>
      </x:c>
      <x:c r="G83" s="12" t="n">
        <x:f>VLOOKUP(E83,'danh-muc-linh-kien'!$A$2:$D$9,3,FALSE)</x:f>
        <x:v>3500000</x:v>
      </x:c>
      <x:c r="H83" s="11" t="str">
        <x:f>VLOOKUP(E83,'danh-muc-linh-kien'!$A$2:$D$9,4,FALSE)</x:f>
        <x:v>Khong ap dung</x:v>
      </x:c>
      <x:c r="I83" s="11" t="n">
        <x:f>COUNTIFS('danh-muc-linh-kien'!$A$2:$A$9,E83)</x:f>
        <x:v>1</x:v>
      </x:c>
    </x:row>
    <x:row r="84" ht="25" customHeight="1">
      <x:c r="A84" s="9" t="str">
        <x:v>TRAM028</x:v>
      </x:c>
      <x:c r="B84" s="9" t="str">
        <x:v>RAM001</x:v>
      </x:c>
      <x:c r="C84" s="9" t="n">
        <x:v>8</x:v>
      </x:c>
      <x:c r="D84" s="10" t="n">
        <x:v>46296</x:v>
      </x:c>
      <x:c r="E84" s="11" t="str">
        <x:f>TRIM(B84)</x:f>
        <x:v>RAM001</x:v>
      </x:c>
      <x:c r="F84" s="11" t="str">
        <x:f>VLOOKUP(E84,'danh-muc-linh-kien'!$A$2:$D$9,2,FALSE)</x:f>
        <x:v>RAM DDR4 8 GB</x:v>
      </x:c>
      <x:c r="G84" s="12" t="n">
        <x:f>VLOOKUP(E84,'danh-muc-linh-kien'!$A$2:$D$9,3,FALSE)</x:f>
        <x:v>450000</x:v>
      </x:c>
      <x:c r="H84" s="11" t="str">
        <x:f>VLOOKUP(E84,'danh-muc-linh-kien'!$A$2:$D$9,4,FALSE)</x:f>
        <x:v>Khong ap dung</x:v>
      </x:c>
      <x:c r="I84" s="11" t="n">
        <x:f>COUNTIFS('danh-muc-linh-kien'!$A$2:$A$9,E84)</x:f>
        <x:v>1</x:v>
      </x:c>
    </x:row>
    <x:row r="85" ht="25" customHeight="1">
      <x:c r="A85" s="9" t="str">
        <x:v>TRAM028</x:v>
      </x:c>
      <x:c r="B85" s="9" t="str">
        <x:v>HDD002</x:v>
      </x:c>
      <x:c r="C85" s="9" t="n">
        <x:v>8</x:v>
      </x:c>
      <x:c r="D85" s="10" t="n">
        <x:v>46296</x:v>
      </x:c>
      <x:c r="E85" s="11" t="str">
        <x:f>TRIM(B85)</x:f>
        <x:v>HDD002</x:v>
      </x:c>
      <x:c r="F85" s="11" t="str">
        <x:f>VLOOKUP(E85,'danh-muc-linh-kien'!$A$2:$D$9,2,FALSE)</x:f>
        <x:v>HDD SATA 2 TB</x:v>
      </x:c>
      <x:c r="G85" s="12" t="n">
        <x:f>VLOOKUP(E85,'danh-muc-linh-kien'!$A$2:$D$9,3,FALSE)</x:f>
        <x:v>1600000</x:v>
      </x:c>
      <x:c r="H85" s="11" t="str">
        <x:f>VLOOKUP(E85,'danh-muc-linh-kien'!$A$2:$D$9,4,FALSE)</x:f>
        <x:v>HDD</x:v>
      </x:c>
      <x:c r="I85" s="11" t="n">
        <x:f>COUNTIFS('danh-muc-linh-kien'!$A$2:$A$9,E85)</x:f>
        <x:v>1</x:v>
      </x:c>
    </x:row>
    <x:row r="86" ht="25" customHeight="1">
      <x:c r="A86" s="9" t="str">
        <x:v>TRAM029</x:v>
      </x:c>
      <x:c r="B86" s="9" t="str">
        <x:v>CPU002</x:v>
      </x:c>
      <x:c r="C86" s="9" t="n">
        <x:v>16</x:v>
      </x:c>
      <x:c r="D86" s="10" t="n">
        <x:v>46296</x:v>
      </x:c>
      <x:c r="E86" s="11" t="str">
        <x:f>TRIM(B86)</x:f>
        <x:v>CPU002</x:v>
      </x:c>
      <x:c r="F86" s="11" t="str">
        <x:f>VLOOKUP(E86,'danh-muc-linh-kien'!$A$2:$D$9,2,FALSE)</x:f>
        <x:v>CPU AMD Ryzen 5 5600</x:v>
      </x:c>
      <x:c r="G86" s="12" t="n">
        <x:f>VLOOKUP(E86,'danh-muc-linh-kien'!$A$2:$D$9,3,FALSE)</x:f>
        <x:v>2800000</x:v>
      </x:c>
      <x:c r="H86" s="11" t="str">
        <x:f>VLOOKUP(E86,'danh-muc-linh-kien'!$A$2:$D$9,4,FALSE)</x:f>
        <x:v>Khong ap dung</x:v>
      </x:c>
      <x:c r="I86" s="11" t="n">
        <x:f>COUNTIFS('danh-muc-linh-kien'!$A$2:$A$9,E86)</x:f>
        <x:v>1</x:v>
      </x:c>
    </x:row>
    <x:row r="87" ht="25" customHeight="1">
      <x:c r="A87" s="9" t="str">
        <x:v>TRAM029</x:v>
      </x:c>
      <x:c r="B87" s="9" t="str">
        <x:v>RAM002</x:v>
      </x:c>
      <x:c r="C87" s="9" t="n">
        <x:v>16</x:v>
      </x:c>
      <x:c r="D87" s="10" t="n">
        <x:v>46296</x:v>
      </x:c>
      <x:c r="E87" s="11" t="str">
        <x:f>TRIM(B87)</x:f>
        <x:v>RAM002</x:v>
      </x:c>
      <x:c r="F87" s="11" t="str">
        <x:f>VLOOKUP(E87,'danh-muc-linh-kien'!$A$2:$D$9,2,FALSE)</x:f>
        <x:v>RAM DDR4 16 GB</x:v>
      </x:c>
      <x:c r="G87" s="12" t="n">
        <x:f>VLOOKUP(E87,'danh-muc-linh-kien'!$A$2:$D$9,3,FALSE)</x:f>
        <x:v>850000</x:v>
      </x:c>
      <x:c r="H87" s="11" t="str">
        <x:f>VLOOKUP(E87,'danh-muc-linh-kien'!$A$2:$D$9,4,FALSE)</x:f>
        <x:v>Khong ap dung</x:v>
      </x:c>
      <x:c r="I87" s="11" t="n">
        <x:f>COUNTIFS('danh-muc-linh-kien'!$A$2:$A$9,E87)</x:f>
        <x:v>1</x:v>
      </x:c>
    </x:row>
    <x:row r="88" ht="25" customHeight="1">
      <x:c r="A88" s="9" t="str">
        <x:v>TRAM029</x:v>
      </x:c>
      <x:c r="B88" s="9" t="str">
        <x:v>SSD001</x:v>
      </x:c>
      <x:c r="C88" s="9" t="n">
        <x:v>16</x:v>
      </x:c>
      <x:c r="D88" s="10" t="n">
        <x:v>46296</x:v>
      </x:c>
      <x:c r="E88" s="11" t="str">
        <x:f>TRIM(B88)</x:f>
        <x:v>SSD001</x:v>
      </x:c>
      <x:c r="F88" s="11" t="str">
        <x:f>VLOOKUP(E88,'danh-muc-linh-kien'!$A$2:$D$9,2,FALSE)</x:f>
        <x:v>SSD SATA 256 GB</x:v>
      </x:c>
      <x:c r="G88" s="12" t="n">
        <x:f>VLOOKUP(E88,'danh-muc-linh-kien'!$A$2:$D$9,3,FALSE)</x:f>
        <x:v>500000</x:v>
      </x:c>
      <x:c r="H88" s="11" t="str">
        <x:f>VLOOKUP(E88,'danh-muc-linh-kien'!$A$2:$D$9,4,FALSE)</x:f>
        <x:v>SSD</x:v>
      </x:c>
      <x:c r="I88" s="11" t="n">
        <x:f>COUNTIFS('danh-muc-linh-kien'!$A$2:$A$9,E88)</x:f>
        <x:v>1</x:v>
      </x:c>
    </x:row>
    <x:row r="89" ht="25" customHeight="1">
      <x:c r="A89" s="9" t="str">
        <x:v>TRAM030</x:v>
      </x:c>
      <x:c r="B89" s="9" t="str">
        <x:v>  CPU001  </x:v>
      </x:c>
      <x:c r="C89" s="9" t="n">
        <x:v>8</x:v>
      </x:c>
      <x:c r="D89" s="10" t="n">
        <x:v>46296</x:v>
      </x:c>
      <x:c r="E89" s="11" t="str">
        <x:f>TRIM(B89)</x:f>
        <x:v>CPU001</x:v>
      </x:c>
      <x:c r="F89" s="11" t="str">
        <x:f>VLOOKUP(E89,'danh-muc-linh-kien'!$A$2:$D$9,2,FALSE)</x:f>
        <x:v>CPU Intel Core i5 12400</x:v>
      </x:c>
      <x:c r="G89" s="12" t="n">
        <x:f>VLOOKUP(E89,'danh-muc-linh-kien'!$A$2:$D$9,3,FALSE)</x:f>
        <x:v>3500000</x:v>
      </x:c>
      <x:c r="H89" s="11" t="str">
        <x:f>VLOOKUP(E89,'danh-muc-linh-kien'!$A$2:$D$9,4,FALSE)</x:f>
        <x:v>Khong ap dung</x:v>
      </x:c>
      <x:c r="I89" s="11" t="n">
        <x:f>COUNTIFS('danh-muc-linh-kien'!$A$2:$A$9,E89)</x:f>
        <x:v>1</x:v>
      </x:c>
    </x:row>
    <x:row r="90" ht="25" customHeight="1">
      <x:c r="A90" s="9" t="str">
        <x:v>TRAM030</x:v>
      </x:c>
      <x:c r="B90" s="9" t="str">
        <x:v>  RAM001  </x:v>
      </x:c>
      <x:c r="C90" s="9" t="n">
        <x:v>8</x:v>
      </x:c>
      <x:c r="D90" s="10" t="n">
        <x:v>46296</x:v>
      </x:c>
      <x:c r="E90" s="11" t="str">
        <x:f>TRIM(B90)</x:f>
        <x:v>RAM001</x:v>
      </x:c>
      <x:c r="F90" s="11" t="str">
        <x:f>VLOOKUP(E90,'danh-muc-linh-kien'!$A$2:$D$9,2,FALSE)</x:f>
        <x:v>RAM DDR4 8 GB</x:v>
      </x:c>
      <x:c r="G90" s="12" t="n">
        <x:f>VLOOKUP(E90,'danh-muc-linh-kien'!$A$2:$D$9,3,FALSE)</x:f>
        <x:v>450000</x:v>
      </x:c>
      <x:c r="H90" s="11" t="str">
        <x:f>VLOOKUP(E90,'danh-muc-linh-kien'!$A$2:$D$9,4,FALSE)</x:f>
        <x:v>Khong ap dung</x:v>
      </x:c>
      <x:c r="I90" s="11" t="n">
        <x:f>COUNTIFS('danh-muc-linh-kien'!$A$2:$A$9,E90)</x:f>
        <x:v>1</x:v>
      </x:c>
    </x:row>
    <x:row r="91" ht="25" customHeight="1">
      <x:c r="A91" s="9" t="str">
        <x:v>TRAM030</x:v>
      </x:c>
      <x:c r="B91" s="9" t="str">
        <x:v>  SSD002  </x:v>
      </x:c>
      <x:c r="C91" s="9" t="n">
        <x:v>8</x:v>
      </x:c>
      <x:c r="D91" s="10" t="n">
        <x:v>46296</x:v>
      </x:c>
      <x:c r="E91" s="11" t="str">
        <x:f>TRIM(B91)</x:f>
        <x:v>SSD002</x:v>
      </x:c>
      <x:c r="F91" s="11" t="str">
        <x:f>VLOOKUP(E91,'danh-muc-linh-kien'!$A$2:$D$9,2,FALSE)</x:f>
        <x:v>SSD NVMe 512 GB</x:v>
      </x:c>
      <x:c r="G91" s="12" t="n">
        <x:f>VLOOKUP(E91,'danh-muc-linh-kien'!$A$2:$D$9,3,FALSE)</x:f>
        <x:v>900000</x:v>
      </x:c>
      <x:c r="H91" s="11" t="str">
        <x:f>VLOOKUP(E91,'danh-muc-linh-kien'!$A$2:$D$9,4,FALSE)</x:f>
        <x:v>SSD</x:v>
      </x:c>
      <x:c r="I91" s="11" t="n">
        <x:f>COUNTIFS('danh-muc-linh-kien'!$A$2:$A$9,E91)</x:f>
        <x:v>1</x:v>
      </x:c>
    </x:row>
    <x:row r="92" ht="25" customHeight="1">
      <x:c r="A92" s="9" t="str">
        <x:v>TRAM031</x:v>
      </x:c>
      <x:c r="B92" s="9" t="str">
        <x:v>CPU002</x:v>
      </x:c>
      <x:c r="C92" s="9" t="n">
        <x:v>16</x:v>
      </x:c>
      <x:c r="D92" s="10" t="n">
        <x:v>46296</x:v>
      </x:c>
      <x:c r="E92" s="11" t="str">
        <x:f>TRIM(B92)</x:f>
        <x:v>CPU002</x:v>
      </x:c>
      <x:c r="F92" s="11" t="str">
        <x:f>VLOOKUP(E92,'danh-muc-linh-kien'!$A$2:$D$9,2,FALSE)</x:f>
        <x:v>CPU AMD Ryzen 5 5600</x:v>
      </x:c>
      <x:c r="G92" s="12" t="n">
        <x:f>VLOOKUP(E92,'danh-muc-linh-kien'!$A$2:$D$9,3,FALSE)</x:f>
        <x:v>2800000</x:v>
      </x:c>
      <x:c r="H92" s="11" t="str">
        <x:f>VLOOKUP(E92,'danh-muc-linh-kien'!$A$2:$D$9,4,FALSE)</x:f>
        <x:v>Khong ap dung</x:v>
      </x:c>
      <x:c r="I92" s="11" t="n">
        <x:f>COUNTIFS('danh-muc-linh-kien'!$A$2:$A$9,E92)</x:f>
        <x:v>1</x:v>
      </x:c>
    </x:row>
    <x:row r="93" ht="25" customHeight="1">
      <x:c r="A93" s="9" t="str">
        <x:v>TRAM031</x:v>
      </x:c>
      <x:c r="B93" s="9" t="str">
        <x:v>RAM002</x:v>
      </x:c>
      <x:c r="C93" s="9" t="n">
        <x:v>16</x:v>
      </x:c>
      <x:c r="D93" s="10" t="n">
        <x:v>46296</x:v>
      </x:c>
      <x:c r="E93" s="11" t="str">
        <x:f>TRIM(B93)</x:f>
        <x:v>RAM002</x:v>
      </x:c>
      <x:c r="F93" s="11" t="str">
        <x:f>VLOOKUP(E93,'danh-muc-linh-kien'!$A$2:$D$9,2,FALSE)</x:f>
        <x:v>RAM DDR4 16 GB</x:v>
      </x:c>
      <x:c r="G93" s="12" t="n">
        <x:f>VLOOKUP(E93,'danh-muc-linh-kien'!$A$2:$D$9,3,FALSE)</x:f>
        <x:v>850000</x:v>
      </x:c>
      <x:c r="H93" s="11" t="str">
        <x:f>VLOOKUP(E93,'danh-muc-linh-kien'!$A$2:$D$9,4,FALSE)</x:f>
        <x:v>Khong ap dung</x:v>
      </x:c>
      <x:c r="I93" s="11" t="n">
        <x:f>COUNTIFS('danh-muc-linh-kien'!$A$2:$A$9,E93)</x:f>
        <x:v>1</x:v>
      </x:c>
    </x:row>
    <x:row r="94" ht="25" customHeight="1">
      <x:c r="A94" s="9" t="str">
        <x:v>TRAM031</x:v>
      </x:c>
      <x:c r="B94" s="9" t="str">
        <x:v>HDD001</x:v>
      </x:c>
      <x:c r="C94" s="9" t="n">
        <x:v>16</x:v>
      </x:c>
      <x:c r="D94" s="10" t="n">
        <x:v>46296</x:v>
      </x:c>
      <x:c r="E94" s="11" t="str">
        <x:f>TRIM(B94)</x:f>
        <x:v>HDD001</x:v>
      </x:c>
      <x:c r="F94" s="11" t="str">
        <x:f>VLOOKUP(E94,'danh-muc-linh-kien'!$A$2:$D$9,2,FALSE)</x:f>
        <x:v>HDD SATA 1 TB</x:v>
      </x:c>
      <x:c r="G94" s="12" t="n">
        <x:f>VLOOKUP(E94,'danh-muc-linh-kien'!$A$2:$D$9,3,FALSE)</x:f>
        <x:v>1100000</x:v>
      </x:c>
      <x:c r="H94" s="11" t="str">
        <x:f>VLOOKUP(E94,'danh-muc-linh-kien'!$A$2:$D$9,4,FALSE)</x:f>
        <x:v>HDD</x:v>
      </x:c>
      <x:c r="I94" s="11" t="n">
        <x:f>COUNTIFS('danh-muc-linh-kien'!$A$2:$A$9,E94)</x:f>
        <x:v>1</x:v>
      </x:c>
    </x:row>
    <x:row r="95" ht="25" customHeight="1">
      <x:c r="A95" s="9" t="str">
        <x:v>TRAM032</x:v>
      </x:c>
      <x:c r="B95" s="9" t="str">
        <x:v>CPU001</x:v>
      </x:c>
      <x:c r="C95" s="9" t="n">
        <x:v>8</x:v>
      </x:c>
      <x:c r="D95" s="10" t="n">
        <x:v>46296</x:v>
      </x:c>
      <x:c r="E95" s="11" t="str">
        <x:f>TRIM(B95)</x:f>
        <x:v>CPU001</x:v>
      </x:c>
      <x:c r="F95" s="11" t="str">
        <x:f>VLOOKUP(E95,'danh-muc-linh-kien'!$A$2:$D$9,2,FALSE)</x:f>
        <x:v>CPU Intel Core i5 12400</x:v>
      </x:c>
      <x:c r="G95" s="12" t="n">
        <x:f>VLOOKUP(E95,'danh-muc-linh-kien'!$A$2:$D$9,3,FALSE)</x:f>
        <x:v>3500000</x:v>
      </x:c>
      <x:c r="H95" s="11" t="str">
        <x:f>VLOOKUP(E95,'danh-muc-linh-kien'!$A$2:$D$9,4,FALSE)</x:f>
        <x:v>Khong ap dung</x:v>
      </x:c>
      <x:c r="I95" s="11" t="n">
        <x:f>COUNTIFS('danh-muc-linh-kien'!$A$2:$A$9,E95)</x:f>
        <x:v>1</x:v>
      </x:c>
    </x:row>
    <x:row r="96" ht="25" customHeight="1">
      <x:c r="A96" s="9" t="str">
        <x:v>TRAM032</x:v>
      </x:c>
      <x:c r="B96" s="9" t="str">
        <x:v>RAM001</x:v>
      </x:c>
      <x:c r="C96" s="9" t="n">
        <x:v>8</x:v>
      </x:c>
      <x:c r="D96" s="10" t="n">
        <x:v>46296</x:v>
      </x:c>
      <x:c r="E96" s="11" t="str">
        <x:f>TRIM(B96)</x:f>
        <x:v>RAM001</x:v>
      </x:c>
      <x:c r="F96" s="11" t="str">
        <x:f>VLOOKUP(E96,'danh-muc-linh-kien'!$A$2:$D$9,2,FALSE)</x:f>
        <x:v>RAM DDR4 8 GB</x:v>
      </x:c>
      <x:c r="G96" s="12" t="n">
        <x:f>VLOOKUP(E96,'danh-muc-linh-kien'!$A$2:$D$9,3,FALSE)</x:f>
        <x:v>450000</x:v>
      </x:c>
      <x:c r="H96" s="11" t="str">
        <x:f>VLOOKUP(E96,'danh-muc-linh-kien'!$A$2:$D$9,4,FALSE)</x:f>
        <x:v>Khong ap dung</x:v>
      </x:c>
      <x:c r="I96" s="11" t="n">
        <x:f>COUNTIFS('danh-muc-linh-kien'!$A$2:$A$9,E96)</x:f>
        <x:v>1</x:v>
      </x:c>
    </x:row>
    <x:row r="97" ht="25" customHeight="1">
      <x:c r="A97" s="9" t="str">
        <x:v>TRAM032</x:v>
      </x:c>
      <x:c r="B97" s="9" t="str">
        <x:v>HDD002</x:v>
      </x:c>
      <x:c r="C97" s="9" t="n">
        <x:v>8</x:v>
      </x:c>
      <x:c r="D97" s="10" t="n">
        <x:v>46296</x:v>
      </x:c>
      <x:c r="E97" s="11" t="str">
        <x:f>TRIM(B97)</x:f>
        <x:v>HDD002</x:v>
      </x:c>
      <x:c r="F97" s="11" t="str">
        <x:f>VLOOKUP(E97,'danh-muc-linh-kien'!$A$2:$D$9,2,FALSE)</x:f>
        <x:v>HDD SATA 2 TB</x:v>
      </x:c>
      <x:c r="G97" s="12" t="n">
        <x:f>VLOOKUP(E97,'danh-muc-linh-kien'!$A$2:$D$9,3,FALSE)</x:f>
        <x:v>1600000</x:v>
      </x:c>
      <x:c r="H97" s="11" t="str">
        <x:f>VLOOKUP(E97,'danh-muc-linh-kien'!$A$2:$D$9,4,FALSE)</x:f>
        <x:v>HDD</x:v>
      </x:c>
      <x:c r="I97" s="11" t="n">
        <x:f>COUNTIFS('danh-muc-linh-kien'!$A$2:$A$9,E97)</x:f>
        <x:v>1</x:v>
      </x:c>
    </x:row>
    <x:row r="98" ht="25" customHeight="1">
      <x:c r="A98" s="9" t="str">
        <x:v>TRAM033</x:v>
      </x:c>
      <x:c r="B98" s="9" t="str">
        <x:v>CPU002</x:v>
      </x:c>
      <x:c r="C98" s="9" t="n">
        <x:v>16</x:v>
      </x:c>
      <x:c r="D98" s="10" t="n">
        <x:v>46296</x:v>
      </x:c>
      <x:c r="E98" s="11" t="str">
        <x:f>TRIM(B98)</x:f>
        <x:v>CPU002</x:v>
      </x:c>
      <x:c r="F98" s="11" t="str">
        <x:f>VLOOKUP(E98,'danh-muc-linh-kien'!$A$2:$D$9,2,FALSE)</x:f>
        <x:v>CPU AMD Ryzen 5 5600</x:v>
      </x:c>
      <x:c r="G98" s="12" t="n">
        <x:f>VLOOKUP(E98,'danh-muc-linh-kien'!$A$2:$D$9,3,FALSE)</x:f>
        <x:v>2800000</x:v>
      </x:c>
      <x:c r="H98" s="11" t="str">
        <x:f>VLOOKUP(E98,'danh-muc-linh-kien'!$A$2:$D$9,4,FALSE)</x:f>
        <x:v>Khong ap dung</x:v>
      </x:c>
      <x:c r="I98" s="11" t="n">
        <x:f>COUNTIFS('danh-muc-linh-kien'!$A$2:$A$9,E98)</x:f>
        <x:v>1</x:v>
      </x:c>
    </x:row>
    <x:row r="99" ht="25" customHeight="1">
      <x:c r="A99" s="9" t="str">
        <x:v>TRAM033</x:v>
      </x:c>
      <x:c r="B99" s="9" t="str">
        <x:v>RAM002</x:v>
      </x:c>
      <x:c r="C99" s="9" t="n">
        <x:v>16</x:v>
      </x:c>
      <x:c r="D99" s="10" t="n">
        <x:v>46296</x:v>
      </x:c>
      <x:c r="E99" s="11" t="str">
        <x:f>TRIM(B99)</x:f>
        <x:v>RAM002</x:v>
      </x:c>
      <x:c r="F99" s="11" t="str">
        <x:f>VLOOKUP(E99,'danh-muc-linh-kien'!$A$2:$D$9,2,FALSE)</x:f>
        <x:v>RAM DDR4 16 GB</x:v>
      </x:c>
      <x:c r="G99" s="12" t="n">
        <x:f>VLOOKUP(E99,'danh-muc-linh-kien'!$A$2:$D$9,3,FALSE)</x:f>
        <x:v>850000</x:v>
      </x:c>
      <x:c r="H99" s="11" t="str">
        <x:f>VLOOKUP(E99,'danh-muc-linh-kien'!$A$2:$D$9,4,FALSE)</x:f>
        <x:v>Khong ap dung</x:v>
      </x:c>
      <x:c r="I99" s="11" t="n">
        <x:f>COUNTIFS('danh-muc-linh-kien'!$A$2:$A$9,E99)</x:f>
        <x:v>1</x:v>
      </x:c>
    </x:row>
    <x:row r="100" ht="25" customHeight="1">
      <x:c r="A100" s="9" t="str">
        <x:v>TRAM033</x:v>
      </x:c>
      <x:c r="B100" s="9" t="str">
        <x:v>SSD001</x:v>
      </x:c>
      <x:c r="C100" s="9" t="n">
        <x:v>16</x:v>
      </x:c>
      <x:c r="D100" s="10" t="n">
        <x:v>46296</x:v>
      </x:c>
      <x:c r="E100" s="11" t="str">
        <x:f>TRIM(B100)</x:f>
        <x:v>SSD001</x:v>
      </x:c>
      <x:c r="F100" s="11" t="str">
        <x:f>VLOOKUP(E100,'danh-muc-linh-kien'!$A$2:$D$9,2,FALSE)</x:f>
        <x:v>SSD SATA 256 GB</x:v>
      </x:c>
      <x:c r="G100" s="12" t="n">
        <x:f>VLOOKUP(E100,'danh-muc-linh-kien'!$A$2:$D$9,3,FALSE)</x:f>
        <x:v>500000</x:v>
      </x:c>
      <x:c r="H100" s="11" t="str">
        <x:f>VLOOKUP(E100,'danh-muc-linh-kien'!$A$2:$D$9,4,FALSE)</x:f>
        <x:v>SSD</x:v>
      </x:c>
      <x:c r="I100" s="11" t="n">
        <x:f>COUNTIFS('danh-muc-linh-kien'!$A$2:$A$9,E100)</x:f>
        <x:v>1</x:v>
      </x:c>
    </x:row>
    <x:row r="101" ht="25" customHeight="1">
      <x:c r="A101" s="9" t="str">
        <x:v>TRAM034</x:v>
      </x:c>
      <x:c r="B101" s="9" t="str">
        <x:v>CPU001</x:v>
      </x:c>
      <x:c r="C101" s="9" t="n">
        <x:v>8</x:v>
      </x:c>
      <x:c r="D101" s="10" t="n">
        <x:v>46296</x:v>
      </x:c>
      <x:c r="E101" s="11" t="str">
        <x:f>TRIM(B101)</x:f>
        <x:v>CPU001</x:v>
      </x:c>
      <x:c r="F101" s="11" t="str">
        <x:f>VLOOKUP(E101,'danh-muc-linh-kien'!$A$2:$D$9,2,FALSE)</x:f>
        <x:v>CPU Intel Core i5 12400</x:v>
      </x:c>
      <x:c r="G101" s="12" t="n">
        <x:f>VLOOKUP(E101,'danh-muc-linh-kien'!$A$2:$D$9,3,FALSE)</x:f>
        <x:v>3500000</x:v>
      </x:c>
      <x:c r="H101" s="11" t="str">
        <x:f>VLOOKUP(E101,'danh-muc-linh-kien'!$A$2:$D$9,4,FALSE)</x:f>
        <x:v>Khong ap dung</x:v>
      </x:c>
      <x:c r="I101" s="11" t="n">
        <x:f>COUNTIFS('danh-muc-linh-kien'!$A$2:$A$9,E101)</x:f>
        <x:v>1</x:v>
      </x:c>
    </x:row>
    <x:row r="102" ht="25" customHeight="1">
      <x:c r="A102" s="9" t="str">
        <x:v>TRAM034</x:v>
      </x:c>
      <x:c r="B102" s="9" t="str">
        <x:v>RAM001</x:v>
      </x:c>
      <x:c r="C102" s="9" t="n">
        <x:v>8</x:v>
      </x:c>
      <x:c r="D102" s="10" t="n">
        <x:v>46296</x:v>
      </x:c>
      <x:c r="E102" s="11" t="str">
        <x:f>TRIM(B102)</x:f>
        <x:v>RAM001</x:v>
      </x:c>
      <x:c r="F102" s="11" t="str">
        <x:f>VLOOKUP(E102,'danh-muc-linh-kien'!$A$2:$D$9,2,FALSE)</x:f>
        <x:v>RAM DDR4 8 GB</x:v>
      </x:c>
      <x:c r="G102" s="12" t="n">
        <x:f>VLOOKUP(E102,'danh-muc-linh-kien'!$A$2:$D$9,3,FALSE)</x:f>
        <x:v>450000</x:v>
      </x:c>
      <x:c r="H102" s="11" t="str">
        <x:f>VLOOKUP(E102,'danh-muc-linh-kien'!$A$2:$D$9,4,FALSE)</x:f>
        <x:v>Khong ap dung</x:v>
      </x:c>
      <x:c r="I102" s="11" t="n">
        <x:f>COUNTIFS('danh-muc-linh-kien'!$A$2:$A$9,E102)</x:f>
        <x:v>1</x:v>
      </x:c>
    </x:row>
    <x:row r="103" ht="25" customHeight="1">
      <x:c r="A103" s="9" t="str">
        <x:v>TRAM034</x:v>
      </x:c>
      <x:c r="B103" s="9" t="str">
        <x:v>SSD002</x:v>
      </x:c>
      <x:c r="C103" s="9" t="n">
        <x:v>8</x:v>
      </x:c>
      <x:c r="D103" s="10" t="n">
        <x:v>46296</x:v>
      </x:c>
      <x:c r="E103" s="11" t="str">
        <x:f>TRIM(B103)</x:f>
        <x:v>SSD002</x:v>
      </x:c>
      <x:c r="F103" s="11" t="str">
        <x:f>VLOOKUP(E103,'danh-muc-linh-kien'!$A$2:$D$9,2,FALSE)</x:f>
        <x:v>SSD NVMe 512 GB</x:v>
      </x:c>
      <x:c r="G103" s="12" t="n">
        <x:f>VLOOKUP(E103,'danh-muc-linh-kien'!$A$2:$D$9,3,FALSE)</x:f>
        <x:v>900000</x:v>
      </x:c>
      <x:c r="H103" s="11" t="str">
        <x:f>VLOOKUP(E103,'danh-muc-linh-kien'!$A$2:$D$9,4,FALSE)</x:f>
        <x:v>SSD</x:v>
      </x:c>
      <x:c r="I103" s="11" t="n">
        <x:f>COUNTIFS('danh-muc-linh-kien'!$A$2:$A$9,E103)</x:f>
        <x:v>1</x:v>
      </x:c>
    </x:row>
    <x:row r="104" ht="25" customHeight="1">
      <x:c r="A104" s="9" t="str">
        <x:v>TRAM035</x:v>
      </x:c>
      <x:c r="B104" s="9" t="str">
        <x:v>CPU002</x:v>
      </x:c>
      <x:c r="C104" s="9" t="n">
        <x:v>16</x:v>
      </x:c>
      <x:c r="D104" s="10" t="n">
        <x:v>46296</x:v>
      </x:c>
      <x:c r="E104" s="11" t="str">
        <x:f>TRIM(B104)</x:f>
        <x:v>CPU002</x:v>
      </x:c>
      <x:c r="F104" s="11" t="str">
        <x:f>VLOOKUP(E104,'danh-muc-linh-kien'!$A$2:$D$9,2,FALSE)</x:f>
        <x:v>CPU AMD Ryzen 5 5600</x:v>
      </x:c>
      <x:c r="G104" s="12" t="n">
        <x:f>VLOOKUP(E104,'danh-muc-linh-kien'!$A$2:$D$9,3,FALSE)</x:f>
        <x:v>2800000</x:v>
      </x:c>
      <x:c r="H104" s="11" t="str">
        <x:f>VLOOKUP(E104,'danh-muc-linh-kien'!$A$2:$D$9,4,FALSE)</x:f>
        <x:v>Khong ap dung</x:v>
      </x:c>
      <x:c r="I104" s="11" t="n">
        <x:f>COUNTIFS('danh-muc-linh-kien'!$A$2:$A$9,E104)</x:f>
        <x:v>1</x:v>
      </x:c>
    </x:row>
    <x:row r="105" ht="25" customHeight="1">
      <x:c r="A105" s="9" t="str">
        <x:v>TRAM035</x:v>
      </x:c>
      <x:c r="B105" s="9" t="str">
        <x:v>RAM002</x:v>
      </x:c>
      <x:c r="C105" s="9" t="n">
        <x:v>16</x:v>
      </x:c>
      <x:c r="D105" s="10" t="n">
        <x:v>46296</x:v>
      </x:c>
      <x:c r="E105" s="11" t="str">
        <x:f>TRIM(B105)</x:f>
        <x:v>RAM002</x:v>
      </x:c>
      <x:c r="F105" s="11" t="str">
        <x:f>VLOOKUP(E105,'danh-muc-linh-kien'!$A$2:$D$9,2,FALSE)</x:f>
        <x:v>RAM DDR4 16 GB</x:v>
      </x:c>
      <x:c r="G105" s="12" t="n">
        <x:f>VLOOKUP(E105,'danh-muc-linh-kien'!$A$2:$D$9,3,FALSE)</x:f>
        <x:v>850000</x:v>
      </x:c>
      <x:c r="H105" s="11" t="str">
        <x:f>VLOOKUP(E105,'danh-muc-linh-kien'!$A$2:$D$9,4,FALSE)</x:f>
        <x:v>Khong ap dung</x:v>
      </x:c>
      <x:c r="I105" s="11" t="n">
        <x:f>COUNTIFS('danh-muc-linh-kien'!$A$2:$A$9,E105)</x:f>
        <x:v>1</x:v>
      </x:c>
    </x:row>
    <x:row r="106" ht="25" customHeight="1">
      <x:c r="A106" s="9" t="str">
        <x:v>TRAM035</x:v>
      </x:c>
      <x:c r="B106" s="9" t="str">
        <x:v>HDD001</x:v>
      </x:c>
      <x:c r="C106" s="9" t="n">
        <x:v>16</x:v>
      </x:c>
      <x:c r="D106" s="10" t="n">
        <x:v>46296</x:v>
      </x:c>
      <x:c r="E106" s="11" t="str">
        <x:f>TRIM(B106)</x:f>
        <x:v>HDD001</x:v>
      </x:c>
      <x:c r="F106" s="11" t="str">
        <x:f>VLOOKUP(E106,'danh-muc-linh-kien'!$A$2:$D$9,2,FALSE)</x:f>
        <x:v>HDD SATA 1 TB</x:v>
      </x:c>
      <x:c r="G106" s="12" t="n">
        <x:f>VLOOKUP(E106,'danh-muc-linh-kien'!$A$2:$D$9,3,FALSE)</x:f>
        <x:v>1100000</x:v>
      </x:c>
      <x:c r="H106" s="11" t="str">
        <x:f>VLOOKUP(E106,'danh-muc-linh-kien'!$A$2:$D$9,4,FALSE)</x:f>
        <x:v>HDD</x:v>
      </x:c>
      <x:c r="I106" s="11" t="n">
        <x:f>COUNTIFS('danh-muc-linh-kien'!$A$2:$A$9,E106)</x:f>
        <x:v>1</x:v>
      </x:c>
    </x:row>
    <x:row r="107" ht="25" customHeight="1">
      <x:c r="A107" s="9" t="str">
        <x:v>TRAM036</x:v>
      </x:c>
      <x:c r="B107" s="9" t="str">
        <x:v>CPU001</x:v>
      </x:c>
      <x:c r="C107" s="9" t="n">
        <x:v>8</x:v>
      </x:c>
      <x:c r="D107" s="10" t="n">
        <x:v>46296</x:v>
      </x:c>
      <x:c r="E107" s="11" t="str">
        <x:f>TRIM(B107)</x:f>
        <x:v>CPU001</x:v>
      </x:c>
      <x:c r="F107" s="11" t="str">
        <x:f>VLOOKUP(E107,'danh-muc-linh-kien'!$A$2:$D$9,2,FALSE)</x:f>
        <x:v>CPU Intel Core i5 12400</x:v>
      </x:c>
      <x:c r="G107" s="12" t="n">
        <x:f>VLOOKUP(E107,'danh-muc-linh-kien'!$A$2:$D$9,3,FALSE)</x:f>
        <x:v>3500000</x:v>
      </x:c>
      <x:c r="H107" s="11" t="str">
        <x:f>VLOOKUP(E107,'danh-muc-linh-kien'!$A$2:$D$9,4,FALSE)</x:f>
        <x:v>Khong ap dung</x:v>
      </x:c>
      <x:c r="I107" s="11" t="n">
        <x:f>COUNTIFS('danh-muc-linh-kien'!$A$2:$A$9,E107)</x:f>
        <x:v>1</x:v>
      </x:c>
    </x:row>
    <x:row r="108" ht="25" customHeight="1">
      <x:c r="A108" s="9" t="str">
        <x:v>TRAM036</x:v>
      </x:c>
      <x:c r="B108" s="9" t="str">
        <x:v>RAM001</x:v>
      </x:c>
      <x:c r="C108" s="9" t="n">
        <x:v>8</x:v>
      </x:c>
      <x:c r="D108" s="10" t="n">
        <x:v>46296</x:v>
      </x:c>
      <x:c r="E108" s="11" t="str">
        <x:f>TRIM(B108)</x:f>
        <x:v>RAM001</x:v>
      </x:c>
      <x:c r="F108" s="11" t="str">
        <x:f>VLOOKUP(E108,'danh-muc-linh-kien'!$A$2:$D$9,2,FALSE)</x:f>
        <x:v>RAM DDR4 8 GB</x:v>
      </x:c>
      <x:c r="G108" s="12" t="n">
        <x:f>VLOOKUP(E108,'danh-muc-linh-kien'!$A$2:$D$9,3,FALSE)</x:f>
        <x:v>450000</x:v>
      </x:c>
      <x:c r="H108" s="11" t="str">
        <x:f>VLOOKUP(E108,'danh-muc-linh-kien'!$A$2:$D$9,4,FALSE)</x:f>
        <x:v>Khong ap dung</x:v>
      </x:c>
      <x:c r="I108" s="11" t="n">
        <x:f>COUNTIFS('danh-muc-linh-kien'!$A$2:$A$9,E108)</x:f>
        <x:v>1</x:v>
      </x:c>
    </x:row>
    <x:row r="109" ht="25" customHeight="1">
      <x:c r="A109" s="9" t="str">
        <x:v>TRAM036</x:v>
      </x:c>
      <x:c r="B109" s="9" t="str">
        <x:v>HDD002</x:v>
      </x:c>
      <x:c r="C109" s="9" t="n">
        <x:v>8</x:v>
      </x:c>
      <x:c r="D109" s="10" t="n">
        <x:v>46296</x:v>
      </x:c>
      <x:c r="E109" s="11" t="str">
        <x:f>TRIM(B109)</x:f>
        <x:v>HDD002</x:v>
      </x:c>
      <x:c r="F109" s="11" t="str">
        <x:f>VLOOKUP(E109,'danh-muc-linh-kien'!$A$2:$D$9,2,FALSE)</x:f>
        <x:v>HDD SATA 2 TB</x:v>
      </x:c>
      <x:c r="G109" s="12" t="n">
        <x:f>VLOOKUP(E109,'danh-muc-linh-kien'!$A$2:$D$9,3,FALSE)</x:f>
        <x:v>1600000</x:v>
      </x:c>
      <x:c r="H109" s="11" t="str">
        <x:f>VLOOKUP(E109,'danh-muc-linh-kien'!$A$2:$D$9,4,FALSE)</x:f>
        <x:v>HDD</x:v>
      </x:c>
      <x:c r="I109" s="11" t="n">
        <x:f>COUNTIFS('danh-muc-linh-kien'!$A$2:$A$9,E109)</x:f>
        <x:v>1</x:v>
      </x:c>
    </x:row>
    <x:row r="110" ht="25" customHeight="1">
      <x:c r="A110" s="9" t="str">
        <x:v>TRAM037</x:v>
      </x:c>
      <x:c r="B110" s="9" t="str">
        <x:v>CPU002</x:v>
      </x:c>
      <x:c r="C110" s="9" t="n">
        <x:v>16</x:v>
      </x:c>
      <x:c r="D110" s="10" t="n">
        <x:v>46296</x:v>
      </x:c>
      <x:c r="E110" s="11" t="str">
        <x:f>TRIM(B110)</x:f>
        <x:v>CPU002</x:v>
      </x:c>
      <x:c r="F110" s="11" t="str">
        <x:f>VLOOKUP(E110,'danh-muc-linh-kien'!$A$2:$D$9,2,FALSE)</x:f>
        <x:v>CPU AMD Ryzen 5 5600</x:v>
      </x:c>
      <x:c r="G110" s="12" t="n">
        <x:f>VLOOKUP(E110,'danh-muc-linh-kien'!$A$2:$D$9,3,FALSE)</x:f>
        <x:v>2800000</x:v>
      </x:c>
      <x:c r="H110" s="11" t="str">
        <x:f>VLOOKUP(E110,'danh-muc-linh-kien'!$A$2:$D$9,4,FALSE)</x:f>
        <x:v>Khong ap dung</x:v>
      </x:c>
      <x:c r="I110" s="11" t="n">
        <x:f>COUNTIFS('danh-muc-linh-kien'!$A$2:$A$9,E110)</x:f>
        <x:v>1</x:v>
      </x:c>
    </x:row>
    <x:row r="111" ht="25" customHeight="1">
      <x:c r="A111" s="9" t="str">
        <x:v>TRAM037</x:v>
      </x:c>
      <x:c r="B111" s="9" t="str">
        <x:v>RAM002</x:v>
      </x:c>
      <x:c r="C111" s="9" t="n">
        <x:v>16</x:v>
      </x:c>
      <x:c r="D111" s="10" t="n">
        <x:v>46296</x:v>
      </x:c>
      <x:c r="E111" s="11" t="str">
        <x:f>TRIM(B111)</x:f>
        <x:v>RAM002</x:v>
      </x:c>
      <x:c r="F111" s="11" t="str">
        <x:f>VLOOKUP(E111,'danh-muc-linh-kien'!$A$2:$D$9,2,FALSE)</x:f>
        <x:v>RAM DDR4 16 GB</x:v>
      </x:c>
      <x:c r="G111" s="12" t="n">
        <x:f>VLOOKUP(E111,'danh-muc-linh-kien'!$A$2:$D$9,3,FALSE)</x:f>
        <x:v>850000</x:v>
      </x:c>
      <x:c r="H111" s="11" t="str">
        <x:f>VLOOKUP(E111,'danh-muc-linh-kien'!$A$2:$D$9,4,FALSE)</x:f>
        <x:v>Khong ap dung</x:v>
      </x:c>
      <x:c r="I111" s="11" t="n">
        <x:f>COUNTIFS('danh-muc-linh-kien'!$A$2:$A$9,E111)</x:f>
        <x:v>1</x:v>
      </x:c>
    </x:row>
    <x:row r="112" ht="25" customHeight="1">
      <x:c r="A112" s="9" t="str">
        <x:v>TRAM037</x:v>
      </x:c>
      <x:c r="B112" s="9" t="str">
        <x:v>SSD001</x:v>
      </x:c>
      <x:c r="C112" s="9" t="n">
        <x:v>16</x:v>
      </x:c>
      <x:c r="D112" s="10" t="n">
        <x:v>46296</x:v>
      </x:c>
      <x:c r="E112" s="11" t="str">
        <x:f>TRIM(B112)</x:f>
        <x:v>SSD001</x:v>
      </x:c>
      <x:c r="F112" s="11" t="str">
        <x:f>VLOOKUP(E112,'danh-muc-linh-kien'!$A$2:$D$9,2,FALSE)</x:f>
        <x:v>SSD SATA 256 GB</x:v>
      </x:c>
      <x:c r="G112" s="12" t="n">
        <x:f>VLOOKUP(E112,'danh-muc-linh-kien'!$A$2:$D$9,3,FALSE)</x:f>
        <x:v>500000</x:v>
      </x:c>
      <x:c r="H112" s="11" t="str">
        <x:f>VLOOKUP(E112,'danh-muc-linh-kien'!$A$2:$D$9,4,FALSE)</x:f>
        <x:v>SSD</x:v>
      </x:c>
      <x:c r="I112" s="11" t="n">
        <x:f>COUNTIFS('danh-muc-linh-kien'!$A$2:$A$9,E112)</x:f>
        <x:v>1</x:v>
      </x:c>
    </x:row>
    <x:row r="113" ht="25" customHeight="1">
      <x:c r="A113" s="9" t="str">
        <x:v>TRAM038</x:v>
      </x:c>
      <x:c r="B113" s="9" t="str">
        <x:v>CPU001</x:v>
      </x:c>
      <x:c r="C113" s="9" t="n">
        <x:v>8</x:v>
      </x:c>
      <x:c r="D113" s="10" t="n">
        <x:v>46296</x:v>
      </x:c>
      <x:c r="E113" s="11" t="str">
        <x:f>TRIM(B113)</x:f>
        <x:v>CPU001</x:v>
      </x:c>
      <x:c r="F113" s="11" t="str">
        <x:f>VLOOKUP(E113,'danh-muc-linh-kien'!$A$2:$D$9,2,FALSE)</x:f>
        <x:v>CPU Intel Core i5 12400</x:v>
      </x:c>
      <x:c r="G113" s="12" t="n">
        <x:f>VLOOKUP(E113,'danh-muc-linh-kien'!$A$2:$D$9,3,FALSE)</x:f>
        <x:v>3500000</x:v>
      </x:c>
      <x:c r="H113" s="11" t="str">
        <x:f>VLOOKUP(E113,'danh-muc-linh-kien'!$A$2:$D$9,4,FALSE)</x:f>
        <x:v>Khong ap dung</x:v>
      </x:c>
      <x:c r="I113" s="11" t="n">
        <x:f>COUNTIFS('danh-muc-linh-kien'!$A$2:$A$9,E113)</x:f>
        <x:v>1</x:v>
      </x:c>
    </x:row>
    <x:row r="114" ht="25" customHeight="1">
      <x:c r="A114" s="9" t="str">
        <x:v>TRAM038</x:v>
      </x:c>
      <x:c r="B114" s="9" t="str">
        <x:v>RAM001</x:v>
      </x:c>
      <x:c r="C114" s="9" t="n">
        <x:v>8</x:v>
      </x:c>
      <x:c r="D114" s="10" t="n">
        <x:v>46296</x:v>
      </x:c>
      <x:c r="E114" s="11" t="str">
        <x:f>TRIM(B114)</x:f>
        <x:v>RAM001</x:v>
      </x:c>
      <x:c r="F114" s="11" t="str">
        <x:f>VLOOKUP(E114,'danh-muc-linh-kien'!$A$2:$D$9,2,FALSE)</x:f>
        <x:v>RAM DDR4 8 GB</x:v>
      </x:c>
      <x:c r="G114" s="12" t="n">
        <x:f>VLOOKUP(E114,'danh-muc-linh-kien'!$A$2:$D$9,3,FALSE)</x:f>
        <x:v>450000</x:v>
      </x:c>
      <x:c r="H114" s="11" t="str">
        <x:f>VLOOKUP(E114,'danh-muc-linh-kien'!$A$2:$D$9,4,FALSE)</x:f>
        <x:v>Khong ap dung</x:v>
      </x:c>
      <x:c r="I114" s="11" t="n">
        <x:f>COUNTIFS('danh-muc-linh-kien'!$A$2:$A$9,E114)</x:f>
        <x:v>1</x:v>
      </x:c>
    </x:row>
    <x:row r="115" ht="25" customHeight="1">
      <x:c r="A115" s="9" t="str">
        <x:v>TRAM038</x:v>
      </x:c>
      <x:c r="B115" s="9" t="str">
        <x:v>SSD002</x:v>
      </x:c>
      <x:c r="C115" s="9" t="n">
        <x:v>8</x:v>
      </x:c>
      <x:c r="D115" s="10" t="n">
        <x:v>46296</x:v>
      </x:c>
      <x:c r="E115" s="11" t="str">
        <x:f>TRIM(B115)</x:f>
        <x:v>SSD002</x:v>
      </x:c>
      <x:c r="F115" s="11" t="str">
        <x:f>VLOOKUP(E115,'danh-muc-linh-kien'!$A$2:$D$9,2,FALSE)</x:f>
        <x:v>SSD NVMe 512 GB</x:v>
      </x:c>
      <x:c r="G115" s="12" t="n">
        <x:f>VLOOKUP(E115,'danh-muc-linh-kien'!$A$2:$D$9,3,FALSE)</x:f>
        <x:v>900000</x:v>
      </x:c>
      <x:c r="H115" s="11" t="str">
        <x:f>VLOOKUP(E115,'danh-muc-linh-kien'!$A$2:$D$9,4,FALSE)</x:f>
        <x:v>SSD</x:v>
      </x:c>
      <x:c r="I115" s="11" t="n">
        <x:f>COUNTIFS('danh-muc-linh-kien'!$A$2:$A$9,E115)</x:f>
        <x:v>1</x:v>
      </x:c>
    </x:row>
    <x:row r="116" ht="25" customHeight="1">
      <x:c r="A116" s="9" t="str">
        <x:v>TRAM039</x:v>
      </x:c>
      <x:c r="B116" s="9" t="str">
        <x:v>CPU002</x:v>
      </x:c>
      <x:c r="C116" s="9" t="n">
        <x:v>16</x:v>
      </x:c>
      <x:c r="D116" s="10" t="n">
        <x:v>46296</x:v>
      </x:c>
      <x:c r="E116" s="11" t="str">
        <x:f>TRIM(B116)</x:f>
        <x:v>CPU002</x:v>
      </x:c>
      <x:c r="F116" s="11" t="str">
        <x:f>VLOOKUP(E116,'danh-muc-linh-kien'!$A$2:$D$9,2,FALSE)</x:f>
        <x:v>CPU AMD Ryzen 5 5600</x:v>
      </x:c>
      <x:c r="G116" s="12" t="n">
        <x:f>VLOOKUP(E116,'danh-muc-linh-kien'!$A$2:$D$9,3,FALSE)</x:f>
        <x:v>2800000</x:v>
      </x:c>
      <x:c r="H116" s="11" t="str">
        <x:f>VLOOKUP(E116,'danh-muc-linh-kien'!$A$2:$D$9,4,FALSE)</x:f>
        <x:v>Khong ap dung</x:v>
      </x:c>
      <x:c r="I116" s="11" t="n">
        <x:f>COUNTIFS('danh-muc-linh-kien'!$A$2:$A$9,E116)</x:f>
        <x:v>1</x:v>
      </x:c>
    </x:row>
    <x:row r="117" ht="25" customHeight="1">
      <x:c r="A117" s="9" t="str">
        <x:v>TRAM039</x:v>
      </x:c>
      <x:c r="B117" s="9" t="str">
        <x:v>RAM002</x:v>
      </x:c>
      <x:c r="C117" s="9" t="n">
        <x:v>16</x:v>
      </x:c>
      <x:c r="D117" s="10" t="n">
        <x:v>46296</x:v>
      </x:c>
      <x:c r="E117" s="11" t="str">
        <x:f>TRIM(B117)</x:f>
        <x:v>RAM002</x:v>
      </x:c>
      <x:c r="F117" s="11" t="str">
        <x:f>VLOOKUP(E117,'danh-muc-linh-kien'!$A$2:$D$9,2,FALSE)</x:f>
        <x:v>RAM DDR4 16 GB</x:v>
      </x:c>
      <x:c r="G117" s="12" t="n">
        <x:f>VLOOKUP(E117,'danh-muc-linh-kien'!$A$2:$D$9,3,FALSE)</x:f>
        <x:v>850000</x:v>
      </x:c>
      <x:c r="H117" s="11" t="str">
        <x:f>VLOOKUP(E117,'danh-muc-linh-kien'!$A$2:$D$9,4,FALSE)</x:f>
        <x:v>Khong ap dung</x:v>
      </x:c>
      <x:c r="I117" s="11" t="n">
        <x:f>COUNTIFS('danh-muc-linh-kien'!$A$2:$A$9,E117)</x:f>
        <x:v>1</x:v>
      </x:c>
    </x:row>
    <x:row r="118" ht="25" customHeight="1">
      <x:c r="A118" s="9" t="str">
        <x:v>TRAM039</x:v>
      </x:c>
      <x:c r="B118" s="9" t="str">
        <x:v>HDD001</x:v>
      </x:c>
      <x:c r="C118" s="9" t="n">
        <x:v>16</x:v>
      </x:c>
      <x:c r="D118" s="10" t="n">
        <x:v>46296</x:v>
      </x:c>
      <x:c r="E118" s="11" t="str">
        <x:f>TRIM(B118)</x:f>
        <x:v>HDD001</x:v>
      </x:c>
      <x:c r="F118" s="11" t="str">
        <x:f>VLOOKUP(E118,'danh-muc-linh-kien'!$A$2:$D$9,2,FALSE)</x:f>
        <x:v>HDD SATA 1 TB</x:v>
      </x:c>
      <x:c r="G118" s="12" t="n">
        <x:f>VLOOKUP(E118,'danh-muc-linh-kien'!$A$2:$D$9,3,FALSE)</x:f>
        <x:v>1100000</x:v>
      </x:c>
      <x:c r="H118" s="11" t="str">
        <x:f>VLOOKUP(E118,'danh-muc-linh-kien'!$A$2:$D$9,4,FALSE)</x:f>
        <x:v>HDD</x:v>
      </x:c>
      <x:c r="I118" s="11" t="n">
        <x:f>COUNTIFS('danh-muc-linh-kien'!$A$2:$A$9,E118)</x:f>
        <x:v>1</x:v>
      </x:c>
    </x:row>
    <x:row r="119" ht="25" customHeight="1">
      <x:c r="A119" s="9" t="str">
        <x:v>TRAM040</x:v>
      </x:c>
      <x:c r="B119" s="9" t="str">
        <x:v>  CPU001  </x:v>
      </x:c>
      <x:c r="C119" s="9" t="n">
        <x:v>8</x:v>
      </x:c>
      <x:c r="D119" s="10" t="n">
        <x:v>46296</x:v>
      </x:c>
      <x:c r="E119" s="11" t="str">
        <x:f>TRIM(B119)</x:f>
        <x:v>CPU001</x:v>
      </x:c>
      <x:c r="F119" s="11" t="str">
        <x:f>VLOOKUP(E119,'danh-muc-linh-kien'!$A$2:$D$9,2,FALSE)</x:f>
        <x:v>CPU Intel Core i5 12400</x:v>
      </x:c>
      <x:c r="G119" s="12" t="n">
        <x:f>VLOOKUP(E119,'danh-muc-linh-kien'!$A$2:$D$9,3,FALSE)</x:f>
        <x:v>3500000</x:v>
      </x:c>
      <x:c r="H119" s="11" t="str">
        <x:f>VLOOKUP(E119,'danh-muc-linh-kien'!$A$2:$D$9,4,FALSE)</x:f>
        <x:v>Khong ap dung</x:v>
      </x:c>
      <x:c r="I119" s="11" t="n">
        <x:f>COUNTIFS('danh-muc-linh-kien'!$A$2:$A$9,E119)</x:f>
        <x:v>1</x:v>
      </x:c>
    </x:row>
    <x:row r="120" ht="25" customHeight="1">
      <x:c r="A120" s="9" t="str">
        <x:v>TRAM040</x:v>
      </x:c>
      <x:c r="B120" s="9" t="str">
        <x:v>  RAM001  </x:v>
      </x:c>
      <x:c r="C120" s="9" t="n">
        <x:v>8</x:v>
      </x:c>
      <x:c r="D120" s="10" t="n">
        <x:v>46296</x:v>
      </x:c>
      <x:c r="E120" s="11" t="str">
        <x:f>TRIM(B120)</x:f>
        <x:v>RAM001</x:v>
      </x:c>
      <x:c r="F120" s="11" t="str">
        <x:f>VLOOKUP(E120,'danh-muc-linh-kien'!$A$2:$D$9,2,FALSE)</x:f>
        <x:v>RAM DDR4 8 GB</x:v>
      </x:c>
      <x:c r="G120" s="12" t="n">
        <x:f>VLOOKUP(E120,'danh-muc-linh-kien'!$A$2:$D$9,3,FALSE)</x:f>
        <x:v>450000</x:v>
      </x:c>
      <x:c r="H120" s="11" t="str">
        <x:f>VLOOKUP(E120,'danh-muc-linh-kien'!$A$2:$D$9,4,FALSE)</x:f>
        <x:v>Khong ap dung</x:v>
      </x:c>
      <x:c r="I120" s="11" t="n">
        <x:f>COUNTIFS('danh-muc-linh-kien'!$A$2:$A$9,E120)</x:f>
        <x:v>1</x:v>
      </x:c>
    </x:row>
    <x:row r="121" ht="25" customHeight="1">
      <x:c r="A121" s="9" t="str">
        <x:v>TRAM040</x:v>
      </x:c>
      <x:c r="B121" s="9" t="str">
        <x:v>  HDD002  </x:v>
      </x:c>
      <x:c r="C121" s="9" t="n">
        <x:v>8</x:v>
      </x:c>
      <x:c r="D121" s="10" t="n">
        <x:v>46296</x:v>
      </x:c>
      <x:c r="E121" s="11" t="str">
        <x:f>TRIM(B121)</x:f>
        <x:v>HDD002</x:v>
      </x:c>
      <x:c r="F121" s="11" t="str">
        <x:f>VLOOKUP(E121,'danh-muc-linh-kien'!$A$2:$D$9,2,FALSE)</x:f>
        <x:v>HDD SATA 2 TB</x:v>
      </x:c>
      <x:c r="G121" s="12" t="n">
        <x:f>VLOOKUP(E121,'danh-muc-linh-kien'!$A$2:$D$9,3,FALSE)</x:f>
        <x:v>1600000</x:v>
      </x:c>
      <x:c r="H121" s="11" t="str">
        <x:f>VLOOKUP(E121,'danh-muc-linh-kien'!$A$2:$D$9,4,FALSE)</x:f>
        <x:v>HDD</x:v>
      </x:c>
      <x:c r="I121" s="11" t="n">
        <x:f>COUNTIFS('danh-muc-linh-kien'!$A$2:$A$9,E121)</x:f>
        <x:v>1</x:v>
      </x:c>
    </x:row>
    <x:row r="122" ht="25" customHeight="1">
      <x:c r="A122" s="9" t="str">
        <x:v>TRAM041</x:v>
      </x:c>
      <x:c r="B122" s="9" t="str">
        <x:v>CPU002</x:v>
      </x:c>
      <x:c r="C122" s="9" t="n">
        <x:v>16</x:v>
      </x:c>
      <x:c r="D122" s="10" t="n">
        <x:v>46296</x:v>
      </x:c>
      <x:c r="E122" s="11" t="str">
        <x:f>TRIM(B122)</x:f>
        <x:v>CPU002</x:v>
      </x:c>
      <x:c r="F122" s="11" t="str">
        <x:f>VLOOKUP(E122,'danh-muc-linh-kien'!$A$2:$D$9,2,FALSE)</x:f>
        <x:v>CPU AMD Ryzen 5 5600</x:v>
      </x:c>
      <x:c r="G122" s="12" t="n">
        <x:f>VLOOKUP(E122,'danh-muc-linh-kien'!$A$2:$D$9,3,FALSE)</x:f>
        <x:v>2800000</x:v>
      </x:c>
      <x:c r="H122" s="11" t="str">
        <x:f>VLOOKUP(E122,'danh-muc-linh-kien'!$A$2:$D$9,4,FALSE)</x:f>
        <x:v>Khong ap dung</x:v>
      </x:c>
      <x:c r="I122" s="11" t="n">
        <x:f>COUNTIFS('danh-muc-linh-kien'!$A$2:$A$9,E122)</x:f>
        <x:v>1</x:v>
      </x:c>
    </x:row>
    <x:row r="123" ht="25" customHeight="1">
      <x:c r="A123" s="9" t="str">
        <x:v>TRAM041</x:v>
      </x:c>
      <x:c r="B123" s="9" t="str">
        <x:v>RAM002</x:v>
      </x:c>
      <x:c r="C123" s="9" t="n">
        <x:v>16</x:v>
      </x:c>
      <x:c r="D123" s="10" t="n">
        <x:v>46296</x:v>
      </x:c>
      <x:c r="E123" s="11" t="str">
        <x:f>TRIM(B123)</x:f>
        <x:v>RAM002</x:v>
      </x:c>
      <x:c r="F123" s="11" t="str">
        <x:f>VLOOKUP(E123,'danh-muc-linh-kien'!$A$2:$D$9,2,FALSE)</x:f>
        <x:v>RAM DDR4 16 GB</x:v>
      </x:c>
      <x:c r="G123" s="12" t="n">
        <x:f>VLOOKUP(E123,'danh-muc-linh-kien'!$A$2:$D$9,3,FALSE)</x:f>
        <x:v>850000</x:v>
      </x:c>
      <x:c r="H123" s="11" t="str">
        <x:f>VLOOKUP(E123,'danh-muc-linh-kien'!$A$2:$D$9,4,FALSE)</x:f>
        <x:v>Khong ap dung</x:v>
      </x:c>
      <x:c r="I123" s="11" t="n">
        <x:f>COUNTIFS('danh-muc-linh-kien'!$A$2:$A$9,E123)</x:f>
        <x:v>1</x:v>
      </x:c>
    </x:row>
    <x:row r="124" ht="25" customHeight="1">
      <x:c r="A124" s="9" t="str">
        <x:v>TRAM041</x:v>
      </x:c>
      <x:c r="B124" s="9" t="str">
        <x:v>SSD001</x:v>
      </x:c>
      <x:c r="C124" s="9" t="n">
        <x:v>16</x:v>
      </x:c>
      <x:c r="D124" s="10" t="n">
        <x:v>46296</x:v>
      </x:c>
      <x:c r="E124" s="11" t="str">
        <x:f>TRIM(B124)</x:f>
        <x:v>SSD001</x:v>
      </x:c>
      <x:c r="F124" s="11" t="str">
        <x:f>VLOOKUP(E124,'danh-muc-linh-kien'!$A$2:$D$9,2,FALSE)</x:f>
        <x:v>SSD SATA 256 GB</x:v>
      </x:c>
      <x:c r="G124" s="12" t="n">
        <x:f>VLOOKUP(E124,'danh-muc-linh-kien'!$A$2:$D$9,3,FALSE)</x:f>
        <x:v>500000</x:v>
      </x:c>
      <x:c r="H124" s="11" t="str">
        <x:f>VLOOKUP(E124,'danh-muc-linh-kien'!$A$2:$D$9,4,FALSE)</x:f>
        <x:v>SSD</x:v>
      </x:c>
      <x:c r="I124" s="11" t="n">
        <x:f>COUNTIFS('danh-muc-linh-kien'!$A$2:$A$9,E124)</x:f>
        <x:v>1</x:v>
      </x:c>
    </x:row>
    <x:row r="125" ht="25" customHeight="1">
      <x:c r="A125" s="9" t="str">
        <x:v>TRAM042</x:v>
      </x:c>
      <x:c r="B125" s="9" t="str">
        <x:v>CPU001</x:v>
      </x:c>
      <x:c r="C125" s="9" t="n">
        <x:v>8</x:v>
      </x:c>
      <x:c r="D125" s="10" t="n">
        <x:v>46296</x:v>
      </x:c>
      <x:c r="E125" s="11" t="str">
        <x:f>TRIM(B125)</x:f>
        <x:v>CPU001</x:v>
      </x:c>
      <x:c r="F125" s="11" t="str">
        <x:f>VLOOKUP(E125,'danh-muc-linh-kien'!$A$2:$D$9,2,FALSE)</x:f>
        <x:v>CPU Intel Core i5 12400</x:v>
      </x:c>
      <x:c r="G125" s="12" t="n">
        <x:f>VLOOKUP(E125,'danh-muc-linh-kien'!$A$2:$D$9,3,FALSE)</x:f>
        <x:v>3500000</x:v>
      </x:c>
      <x:c r="H125" s="11" t="str">
        <x:f>VLOOKUP(E125,'danh-muc-linh-kien'!$A$2:$D$9,4,FALSE)</x:f>
        <x:v>Khong ap dung</x:v>
      </x:c>
      <x:c r="I125" s="11" t="n">
        <x:f>COUNTIFS('danh-muc-linh-kien'!$A$2:$A$9,E125)</x:f>
        <x:v>1</x:v>
      </x:c>
    </x:row>
    <x:row r="126" ht="25" customHeight="1">
      <x:c r="A126" s="9" t="str">
        <x:v>TRAM042</x:v>
      </x:c>
      <x:c r="B126" s="9" t="str">
        <x:v>RAM001</x:v>
      </x:c>
      <x:c r="C126" s="9" t="n">
        <x:v>8</x:v>
      </x:c>
      <x:c r="D126" s="10" t="n">
        <x:v>46296</x:v>
      </x:c>
      <x:c r="E126" s="11" t="str">
        <x:f>TRIM(B126)</x:f>
        <x:v>RAM001</x:v>
      </x:c>
      <x:c r="F126" s="11" t="str">
        <x:f>VLOOKUP(E126,'danh-muc-linh-kien'!$A$2:$D$9,2,FALSE)</x:f>
        <x:v>RAM DDR4 8 GB</x:v>
      </x:c>
      <x:c r="G126" s="12" t="n">
        <x:f>VLOOKUP(E126,'danh-muc-linh-kien'!$A$2:$D$9,3,FALSE)</x:f>
        <x:v>450000</x:v>
      </x:c>
      <x:c r="H126" s="11" t="str">
        <x:f>VLOOKUP(E126,'danh-muc-linh-kien'!$A$2:$D$9,4,FALSE)</x:f>
        <x:v>Khong ap dung</x:v>
      </x:c>
      <x:c r="I126" s="11" t="n">
        <x:f>COUNTIFS('danh-muc-linh-kien'!$A$2:$A$9,E126)</x:f>
        <x:v>1</x:v>
      </x:c>
    </x:row>
    <x:row r="127" ht="25" customHeight="1">
      <x:c r="A127" s="9" t="str">
        <x:v>TRAM042</x:v>
      </x:c>
      <x:c r="B127" s="9" t="str">
        <x:v>SSD002</x:v>
      </x:c>
      <x:c r="C127" s="9" t="n">
        <x:v>8</x:v>
      </x:c>
      <x:c r="D127" s="10" t="n">
        <x:v>46296</x:v>
      </x:c>
      <x:c r="E127" s="11" t="str">
        <x:f>TRIM(B127)</x:f>
        <x:v>SSD002</x:v>
      </x:c>
      <x:c r="F127" s="11" t="str">
        <x:f>VLOOKUP(E127,'danh-muc-linh-kien'!$A$2:$D$9,2,FALSE)</x:f>
        <x:v>SSD NVMe 512 GB</x:v>
      </x:c>
      <x:c r="G127" s="12" t="n">
        <x:f>VLOOKUP(E127,'danh-muc-linh-kien'!$A$2:$D$9,3,FALSE)</x:f>
        <x:v>900000</x:v>
      </x:c>
      <x:c r="H127" s="11" t="str">
        <x:f>VLOOKUP(E127,'danh-muc-linh-kien'!$A$2:$D$9,4,FALSE)</x:f>
        <x:v>SSD</x:v>
      </x:c>
      <x:c r="I127" s="11" t="n">
        <x:f>COUNTIFS('danh-muc-linh-kien'!$A$2:$A$9,E127)</x:f>
        <x:v>1</x:v>
      </x:c>
    </x:row>
    <x:row r="128" ht="25" customHeight="1">
      <x:c r="A128" s="9" t="str">
        <x:v>TRAM043</x:v>
      </x:c>
      <x:c r="B128" s="9" t="str">
        <x:v>CPU002</x:v>
      </x:c>
      <x:c r="C128" s="9" t="n">
        <x:v>16</x:v>
      </x:c>
      <x:c r="D128" s="10" t="n">
        <x:v>46296</x:v>
      </x:c>
      <x:c r="E128" s="11" t="str">
        <x:f>TRIM(B128)</x:f>
        <x:v>CPU002</x:v>
      </x:c>
      <x:c r="F128" s="11" t="str">
        <x:f>VLOOKUP(E128,'danh-muc-linh-kien'!$A$2:$D$9,2,FALSE)</x:f>
        <x:v>CPU AMD Ryzen 5 5600</x:v>
      </x:c>
      <x:c r="G128" s="12" t="n">
        <x:f>VLOOKUP(E128,'danh-muc-linh-kien'!$A$2:$D$9,3,FALSE)</x:f>
        <x:v>2800000</x:v>
      </x:c>
      <x:c r="H128" s="11" t="str">
        <x:f>VLOOKUP(E128,'danh-muc-linh-kien'!$A$2:$D$9,4,FALSE)</x:f>
        <x:v>Khong ap dung</x:v>
      </x:c>
      <x:c r="I128" s="11" t="n">
        <x:f>COUNTIFS('danh-muc-linh-kien'!$A$2:$A$9,E128)</x:f>
        <x:v>1</x:v>
      </x:c>
    </x:row>
    <x:row r="129" ht="25" customHeight="1">
      <x:c r="A129" s="9" t="str">
        <x:v>TRAM043</x:v>
      </x:c>
      <x:c r="B129" s="9" t="str">
        <x:v>RAM002</x:v>
      </x:c>
      <x:c r="C129" s="9" t="n">
        <x:v>16</x:v>
      </x:c>
      <x:c r="D129" s="10" t="n">
        <x:v>46296</x:v>
      </x:c>
      <x:c r="E129" s="11" t="str">
        <x:f>TRIM(B129)</x:f>
        <x:v>RAM002</x:v>
      </x:c>
      <x:c r="F129" s="11" t="str">
        <x:f>VLOOKUP(E129,'danh-muc-linh-kien'!$A$2:$D$9,2,FALSE)</x:f>
        <x:v>RAM DDR4 16 GB</x:v>
      </x:c>
      <x:c r="G129" s="12" t="n">
        <x:f>VLOOKUP(E129,'danh-muc-linh-kien'!$A$2:$D$9,3,FALSE)</x:f>
        <x:v>850000</x:v>
      </x:c>
      <x:c r="H129" s="11" t="str">
        <x:f>VLOOKUP(E129,'danh-muc-linh-kien'!$A$2:$D$9,4,FALSE)</x:f>
        <x:v>Khong ap dung</x:v>
      </x:c>
      <x:c r="I129" s="11" t="n">
        <x:f>COUNTIFS('danh-muc-linh-kien'!$A$2:$A$9,E129)</x:f>
        <x:v>1</x:v>
      </x:c>
    </x:row>
    <x:row r="130" ht="25" customHeight="1">
      <x:c r="A130" s="9" t="str">
        <x:v>TRAM043</x:v>
      </x:c>
      <x:c r="B130" s="9" t="str">
        <x:v>HDD001</x:v>
      </x:c>
      <x:c r="C130" s="9" t="n">
        <x:v>16</x:v>
      </x:c>
      <x:c r="D130" s="10" t="n">
        <x:v>46296</x:v>
      </x:c>
      <x:c r="E130" s="11" t="str">
        <x:f>TRIM(B130)</x:f>
        <x:v>HDD001</x:v>
      </x:c>
      <x:c r="F130" s="11" t="str">
        <x:f>VLOOKUP(E130,'danh-muc-linh-kien'!$A$2:$D$9,2,FALSE)</x:f>
        <x:v>HDD SATA 1 TB</x:v>
      </x:c>
      <x:c r="G130" s="12" t="n">
        <x:f>VLOOKUP(E130,'danh-muc-linh-kien'!$A$2:$D$9,3,FALSE)</x:f>
        <x:v>1100000</x:v>
      </x:c>
      <x:c r="H130" s="11" t="str">
        <x:f>VLOOKUP(E130,'danh-muc-linh-kien'!$A$2:$D$9,4,FALSE)</x:f>
        <x:v>HDD</x:v>
      </x:c>
      <x:c r="I130" s="11" t="n">
        <x:f>COUNTIFS('danh-muc-linh-kien'!$A$2:$A$9,E130)</x:f>
        <x:v>1</x:v>
      </x:c>
    </x:row>
    <x:row r="131" ht="25" customHeight="1">
      <x:c r="A131" s="9" t="str">
        <x:v>TRAM044</x:v>
      </x:c>
      <x:c r="B131" s="9" t="str">
        <x:v>CPU001</x:v>
      </x:c>
      <x:c r="C131" s="9" t="n">
        <x:v>8</x:v>
      </x:c>
      <x:c r="D131" s="10" t="n">
        <x:v>46296</x:v>
      </x:c>
      <x:c r="E131" s="11" t="str">
        <x:f>TRIM(B131)</x:f>
        <x:v>CPU001</x:v>
      </x:c>
      <x:c r="F131" s="11" t="str">
        <x:f>VLOOKUP(E131,'danh-muc-linh-kien'!$A$2:$D$9,2,FALSE)</x:f>
        <x:v>CPU Intel Core i5 12400</x:v>
      </x:c>
      <x:c r="G131" s="12" t="n">
        <x:f>VLOOKUP(E131,'danh-muc-linh-kien'!$A$2:$D$9,3,FALSE)</x:f>
        <x:v>3500000</x:v>
      </x:c>
      <x:c r="H131" s="11" t="str">
        <x:f>VLOOKUP(E131,'danh-muc-linh-kien'!$A$2:$D$9,4,FALSE)</x:f>
        <x:v>Khong ap dung</x:v>
      </x:c>
      <x:c r="I131" s="11" t="n">
        <x:f>COUNTIFS('danh-muc-linh-kien'!$A$2:$A$9,E131)</x:f>
        <x:v>1</x:v>
      </x:c>
    </x:row>
    <x:row r="132" ht="25" customHeight="1">
      <x:c r="A132" s="9" t="str">
        <x:v>TRAM044</x:v>
      </x:c>
      <x:c r="B132" s="9" t="str">
        <x:v>RAM001</x:v>
      </x:c>
      <x:c r="C132" s="9" t="n">
        <x:v>8</x:v>
      </x:c>
      <x:c r="D132" s="10" t="n">
        <x:v>46296</x:v>
      </x:c>
      <x:c r="E132" s="11" t="str">
        <x:f>TRIM(B132)</x:f>
        <x:v>RAM001</x:v>
      </x:c>
      <x:c r="F132" s="11" t="str">
        <x:f>VLOOKUP(E132,'danh-muc-linh-kien'!$A$2:$D$9,2,FALSE)</x:f>
        <x:v>RAM DDR4 8 GB</x:v>
      </x:c>
      <x:c r="G132" s="12" t="n">
        <x:f>VLOOKUP(E132,'danh-muc-linh-kien'!$A$2:$D$9,3,FALSE)</x:f>
        <x:v>450000</x:v>
      </x:c>
      <x:c r="H132" s="11" t="str">
        <x:f>VLOOKUP(E132,'danh-muc-linh-kien'!$A$2:$D$9,4,FALSE)</x:f>
        <x:v>Khong ap dung</x:v>
      </x:c>
      <x:c r="I132" s="11" t="n">
        <x:f>COUNTIFS('danh-muc-linh-kien'!$A$2:$A$9,E132)</x:f>
        <x:v>1</x:v>
      </x:c>
    </x:row>
    <x:row r="133" ht="25" customHeight="1">
      <x:c r="A133" s="9" t="str">
        <x:v>TRAM044</x:v>
      </x:c>
      <x:c r="B133" s="9" t="str">
        <x:v>HDD002</x:v>
      </x:c>
      <x:c r="C133" s="9" t="n">
        <x:v>8</x:v>
      </x:c>
      <x:c r="D133" s="10" t="n">
        <x:v>46296</x:v>
      </x:c>
      <x:c r="E133" s="11" t="str">
        <x:f>TRIM(B133)</x:f>
        <x:v>HDD002</x:v>
      </x:c>
      <x:c r="F133" s="11" t="str">
        <x:f>VLOOKUP(E133,'danh-muc-linh-kien'!$A$2:$D$9,2,FALSE)</x:f>
        <x:v>HDD SATA 2 TB</x:v>
      </x:c>
      <x:c r="G133" s="12" t="n">
        <x:f>VLOOKUP(E133,'danh-muc-linh-kien'!$A$2:$D$9,3,FALSE)</x:f>
        <x:v>1600000</x:v>
      </x:c>
      <x:c r="H133" s="11" t="str">
        <x:f>VLOOKUP(E133,'danh-muc-linh-kien'!$A$2:$D$9,4,FALSE)</x:f>
        <x:v>HDD</x:v>
      </x:c>
      <x:c r="I133" s="11" t="n">
        <x:f>COUNTIFS('danh-muc-linh-kien'!$A$2:$A$9,E133)</x:f>
        <x:v>1</x:v>
      </x:c>
    </x:row>
    <x:row r="134" ht="25" customHeight="1">
      <x:c r="A134" s="9" t="str">
        <x:v>TRAM045</x:v>
      </x:c>
      <x:c r="B134" s="9" t="str">
        <x:v>CPU002</x:v>
      </x:c>
      <x:c r="C134" s="9" t="n">
        <x:v>16</x:v>
      </x:c>
      <x:c r="D134" s="10" t="n">
        <x:v>46296</x:v>
      </x:c>
      <x:c r="E134" s="11" t="str">
        <x:f>TRIM(B134)</x:f>
        <x:v>CPU002</x:v>
      </x:c>
      <x:c r="F134" s="11" t="str">
        <x:f>VLOOKUP(E134,'danh-muc-linh-kien'!$A$2:$D$9,2,FALSE)</x:f>
        <x:v>CPU AMD Ryzen 5 5600</x:v>
      </x:c>
      <x:c r="G134" s="12" t="n">
        <x:f>VLOOKUP(E134,'danh-muc-linh-kien'!$A$2:$D$9,3,FALSE)</x:f>
        <x:v>2800000</x:v>
      </x:c>
      <x:c r="H134" s="11" t="str">
        <x:f>VLOOKUP(E134,'danh-muc-linh-kien'!$A$2:$D$9,4,FALSE)</x:f>
        <x:v>Khong ap dung</x:v>
      </x:c>
      <x:c r="I134" s="11" t="n">
        <x:f>COUNTIFS('danh-muc-linh-kien'!$A$2:$A$9,E134)</x:f>
        <x:v>1</x:v>
      </x:c>
    </x:row>
    <x:row r="135" ht="25" customHeight="1">
      <x:c r="A135" s="9" t="str">
        <x:v>TRAM045</x:v>
      </x:c>
      <x:c r="B135" s="9" t="str">
        <x:v>RAM002</x:v>
      </x:c>
      <x:c r="C135" s="9" t="n">
        <x:v>16</x:v>
      </x:c>
      <x:c r="D135" s="10" t="n">
        <x:v>46296</x:v>
      </x:c>
      <x:c r="E135" s="11" t="str">
        <x:f>TRIM(B135)</x:f>
        <x:v>RAM002</x:v>
      </x:c>
      <x:c r="F135" s="11" t="str">
        <x:f>VLOOKUP(E135,'danh-muc-linh-kien'!$A$2:$D$9,2,FALSE)</x:f>
        <x:v>RAM DDR4 16 GB</x:v>
      </x:c>
      <x:c r="G135" s="12" t="n">
        <x:f>VLOOKUP(E135,'danh-muc-linh-kien'!$A$2:$D$9,3,FALSE)</x:f>
        <x:v>850000</x:v>
      </x:c>
      <x:c r="H135" s="11" t="str">
        <x:f>VLOOKUP(E135,'danh-muc-linh-kien'!$A$2:$D$9,4,FALSE)</x:f>
        <x:v>Khong ap dung</x:v>
      </x:c>
      <x:c r="I135" s="11" t="n">
        <x:f>COUNTIFS('danh-muc-linh-kien'!$A$2:$A$9,E135)</x:f>
        <x:v>1</x:v>
      </x:c>
    </x:row>
    <x:row r="136" ht="25" customHeight="1">
      <x:c r="A136" s="9" t="str">
        <x:v>TRAM045</x:v>
      </x:c>
      <x:c r="B136" s="9" t="str">
        <x:v>SSD001</x:v>
      </x:c>
      <x:c r="C136" s="9" t="n">
        <x:v>16</x:v>
      </x:c>
      <x:c r="D136" s="10" t="n">
        <x:v>46296</x:v>
      </x:c>
      <x:c r="E136" s="11" t="str">
        <x:f>TRIM(B136)</x:f>
        <x:v>SSD001</x:v>
      </x:c>
      <x:c r="F136" s="11" t="str">
        <x:f>VLOOKUP(E136,'danh-muc-linh-kien'!$A$2:$D$9,2,FALSE)</x:f>
        <x:v>SSD SATA 256 GB</x:v>
      </x:c>
      <x:c r="G136" s="12" t="n">
        <x:f>VLOOKUP(E136,'danh-muc-linh-kien'!$A$2:$D$9,3,FALSE)</x:f>
        <x:v>500000</x:v>
      </x:c>
      <x:c r="H136" s="11" t="str">
        <x:f>VLOOKUP(E136,'danh-muc-linh-kien'!$A$2:$D$9,4,FALSE)</x:f>
        <x:v>SSD</x:v>
      </x:c>
      <x:c r="I136" s="11" t="n">
        <x:f>COUNTIFS('danh-muc-linh-kien'!$A$2:$A$9,E136)</x:f>
        <x:v>1</x:v>
      </x:c>
    </x:row>
    <x:row r="137" ht="25" customHeight="1">
      <x:c r="A137" s="9" t="str">
        <x:v>TRAM046</x:v>
      </x:c>
      <x:c r="B137" s="9" t="str">
        <x:v>CPU001</x:v>
      </x:c>
      <x:c r="C137" s="9" t="n">
        <x:v>8</x:v>
      </x:c>
      <x:c r="D137" s="10" t="n">
        <x:v>46296</x:v>
      </x:c>
      <x:c r="E137" s="11" t="str">
        <x:f>TRIM(B137)</x:f>
        <x:v>CPU001</x:v>
      </x:c>
      <x:c r="F137" s="11" t="str">
        <x:f>VLOOKUP(E137,'danh-muc-linh-kien'!$A$2:$D$9,2,FALSE)</x:f>
        <x:v>CPU Intel Core i5 12400</x:v>
      </x:c>
      <x:c r="G137" s="12" t="n">
        <x:f>VLOOKUP(E137,'danh-muc-linh-kien'!$A$2:$D$9,3,FALSE)</x:f>
        <x:v>3500000</x:v>
      </x:c>
      <x:c r="H137" s="11" t="str">
        <x:f>VLOOKUP(E137,'danh-muc-linh-kien'!$A$2:$D$9,4,FALSE)</x:f>
        <x:v>Khong ap dung</x:v>
      </x:c>
      <x:c r="I137" s="11" t="n">
        <x:f>COUNTIFS('danh-muc-linh-kien'!$A$2:$A$9,E137)</x:f>
        <x:v>1</x:v>
      </x:c>
    </x:row>
    <x:row r="138" ht="25" customHeight="1">
      <x:c r="A138" s="9" t="str">
        <x:v>TRAM046</x:v>
      </x:c>
      <x:c r="B138" s="9" t="str">
        <x:v>RAM001</x:v>
      </x:c>
      <x:c r="C138" s="9" t="n">
        <x:v>8</x:v>
      </x:c>
      <x:c r="D138" s="10" t="n">
        <x:v>46296</x:v>
      </x:c>
      <x:c r="E138" s="11" t="str">
        <x:f>TRIM(B138)</x:f>
        <x:v>RAM001</x:v>
      </x:c>
      <x:c r="F138" s="11" t="str">
        <x:f>VLOOKUP(E138,'danh-muc-linh-kien'!$A$2:$D$9,2,FALSE)</x:f>
        <x:v>RAM DDR4 8 GB</x:v>
      </x:c>
      <x:c r="G138" s="12" t="n">
        <x:f>VLOOKUP(E138,'danh-muc-linh-kien'!$A$2:$D$9,3,FALSE)</x:f>
        <x:v>450000</x:v>
      </x:c>
      <x:c r="H138" s="11" t="str">
        <x:f>VLOOKUP(E138,'danh-muc-linh-kien'!$A$2:$D$9,4,FALSE)</x:f>
        <x:v>Khong ap dung</x:v>
      </x:c>
      <x:c r="I138" s="11" t="n">
        <x:f>COUNTIFS('danh-muc-linh-kien'!$A$2:$A$9,E138)</x:f>
        <x:v>1</x:v>
      </x:c>
    </x:row>
    <x:row r="139" ht="25" customHeight="1">
      <x:c r="A139" s="9" t="str">
        <x:v>TRAM046</x:v>
      </x:c>
      <x:c r="B139" s="9" t="str">
        <x:v>SSD002</x:v>
      </x:c>
      <x:c r="C139" s="9" t="n">
        <x:v>8</x:v>
      </x:c>
      <x:c r="D139" s="10" t="n">
        <x:v>46296</x:v>
      </x:c>
      <x:c r="E139" s="11" t="str">
        <x:f>TRIM(B139)</x:f>
        <x:v>SSD002</x:v>
      </x:c>
      <x:c r="F139" s="11" t="str">
        <x:f>VLOOKUP(E139,'danh-muc-linh-kien'!$A$2:$D$9,2,FALSE)</x:f>
        <x:v>SSD NVMe 512 GB</x:v>
      </x:c>
      <x:c r="G139" s="12" t="n">
        <x:f>VLOOKUP(E139,'danh-muc-linh-kien'!$A$2:$D$9,3,FALSE)</x:f>
        <x:v>900000</x:v>
      </x:c>
      <x:c r="H139" s="11" t="str">
        <x:f>VLOOKUP(E139,'danh-muc-linh-kien'!$A$2:$D$9,4,FALSE)</x:f>
        <x:v>SSD</x:v>
      </x:c>
      <x:c r="I139" s="11" t="n">
        <x:f>COUNTIFS('danh-muc-linh-kien'!$A$2:$A$9,E139)</x:f>
        <x:v>1</x:v>
      </x:c>
    </x:row>
    <x:row r="140" ht="25" customHeight="1">
      <x:c r="A140" s="9" t="str">
        <x:v>TRAM047</x:v>
      </x:c>
      <x:c r="B140" s="9" t="str">
        <x:v>CPU002</x:v>
      </x:c>
      <x:c r="C140" s="9" t="n">
        <x:v>16</x:v>
      </x:c>
      <x:c r="D140" s="10" t="n">
        <x:v>46296</x:v>
      </x:c>
      <x:c r="E140" s="11" t="str">
        <x:f>TRIM(B140)</x:f>
        <x:v>CPU002</x:v>
      </x:c>
      <x:c r="F140" s="11" t="str">
        <x:f>VLOOKUP(E140,'danh-muc-linh-kien'!$A$2:$D$9,2,FALSE)</x:f>
        <x:v>CPU AMD Ryzen 5 5600</x:v>
      </x:c>
      <x:c r="G140" s="12" t="n">
        <x:f>VLOOKUP(E140,'danh-muc-linh-kien'!$A$2:$D$9,3,FALSE)</x:f>
        <x:v>2800000</x:v>
      </x:c>
      <x:c r="H140" s="11" t="str">
        <x:f>VLOOKUP(E140,'danh-muc-linh-kien'!$A$2:$D$9,4,FALSE)</x:f>
        <x:v>Khong ap dung</x:v>
      </x:c>
      <x:c r="I140" s="11" t="n">
        <x:f>COUNTIFS('danh-muc-linh-kien'!$A$2:$A$9,E140)</x:f>
        <x:v>1</x:v>
      </x:c>
    </x:row>
    <x:row r="141" ht="25" customHeight="1">
      <x:c r="A141" s="9" t="str">
        <x:v>TRAM047</x:v>
      </x:c>
      <x:c r="B141" s="9" t="str">
        <x:v>RAM002</x:v>
      </x:c>
      <x:c r="C141" s="9" t="n">
        <x:v>16</x:v>
      </x:c>
      <x:c r="D141" s="10" t="n">
        <x:v>46296</x:v>
      </x:c>
      <x:c r="E141" s="11" t="str">
        <x:f>TRIM(B141)</x:f>
        <x:v>RAM002</x:v>
      </x:c>
      <x:c r="F141" s="11" t="str">
        <x:f>VLOOKUP(E141,'danh-muc-linh-kien'!$A$2:$D$9,2,FALSE)</x:f>
        <x:v>RAM DDR4 16 GB</x:v>
      </x:c>
      <x:c r="G141" s="12" t="n">
        <x:f>VLOOKUP(E141,'danh-muc-linh-kien'!$A$2:$D$9,3,FALSE)</x:f>
        <x:v>850000</x:v>
      </x:c>
      <x:c r="H141" s="11" t="str">
        <x:f>VLOOKUP(E141,'danh-muc-linh-kien'!$A$2:$D$9,4,FALSE)</x:f>
        <x:v>Khong ap dung</x:v>
      </x:c>
      <x:c r="I141" s="11" t="n">
        <x:f>COUNTIFS('danh-muc-linh-kien'!$A$2:$A$9,E141)</x:f>
        <x:v>1</x:v>
      </x:c>
    </x:row>
    <x:row r="142" ht="25" customHeight="1">
      <x:c r="A142" s="9" t="str">
        <x:v>TRAM047</x:v>
      </x:c>
      <x:c r="B142" s="9" t="str">
        <x:v>HDD001</x:v>
      </x:c>
      <x:c r="C142" s="9" t="n">
        <x:v>16</x:v>
      </x:c>
      <x:c r="D142" s="10" t="n">
        <x:v>46296</x:v>
      </x:c>
      <x:c r="E142" s="11" t="str">
        <x:f>TRIM(B142)</x:f>
        <x:v>HDD001</x:v>
      </x:c>
      <x:c r="F142" s="11" t="str">
        <x:f>VLOOKUP(E142,'danh-muc-linh-kien'!$A$2:$D$9,2,FALSE)</x:f>
        <x:v>HDD SATA 1 TB</x:v>
      </x:c>
      <x:c r="G142" s="12" t="n">
        <x:f>VLOOKUP(E142,'danh-muc-linh-kien'!$A$2:$D$9,3,FALSE)</x:f>
        <x:v>1100000</x:v>
      </x:c>
      <x:c r="H142" s="11" t="str">
        <x:f>VLOOKUP(E142,'danh-muc-linh-kien'!$A$2:$D$9,4,FALSE)</x:f>
        <x:v>HDD</x:v>
      </x:c>
      <x:c r="I142" s="11" t="n">
        <x:f>COUNTIFS('danh-muc-linh-kien'!$A$2:$A$9,E142)</x:f>
        <x:v>1</x:v>
      </x:c>
    </x:row>
    <x:row r="143" ht="25" customHeight="1">
      <x:c r="A143" s="9" t="str">
        <x:v>TRAM048</x:v>
      </x:c>
      <x:c r="B143" s="9" t="str">
        <x:v>CPU001</x:v>
      </x:c>
      <x:c r="C143" s="9" t="n">
        <x:v>8</x:v>
      </x:c>
      <x:c r="D143" s="10" t="n">
        <x:v>46296</x:v>
      </x:c>
      <x:c r="E143" s="11" t="str">
        <x:f>TRIM(B143)</x:f>
        <x:v>CPU001</x:v>
      </x:c>
      <x:c r="F143" s="11" t="str">
        <x:f>VLOOKUP(E143,'danh-muc-linh-kien'!$A$2:$D$9,2,FALSE)</x:f>
        <x:v>CPU Intel Core i5 12400</x:v>
      </x:c>
      <x:c r="G143" s="12" t="n">
        <x:f>VLOOKUP(E143,'danh-muc-linh-kien'!$A$2:$D$9,3,FALSE)</x:f>
        <x:v>3500000</x:v>
      </x:c>
      <x:c r="H143" s="11" t="str">
        <x:f>VLOOKUP(E143,'danh-muc-linh-kien'!$A$2:$D$9,4,FALSE)</x:f>
        <x:v>Khong ap dung</x:v>
      </x:c>
      <x:c r="I143" s="11" t="n">
        <x:f>COUNTIFS('danh-muc-linh-kien'!$A$2:$A$9,E143)</x:f>
        <x:v>1</x:v>
      </x:c>
    </x:row>
    <x:row r="144" ht="25" customHeight="1">
      <x:c r="A144" s="9" t="str">
        <x:v>TRAM048</x:v>
      </x:c>
      <x:c r="B144" s="9" t="str">
        <x:v>RAM001</x:v>
      </x:c>
      <x:c r="C144" s="9" t="n">
        <x:v>8</x:v>
      </x:c>
      <x:c r="D144" s="10" t="n">
        <x:v>46296</x:v>
      </x:c>
      <x:c r="E144" s="11" t="str">
        <x:f>TRIM(B144)</x:f>
        <x:v>RAM001</x:v>
      </x:c>
      <x:c r="F144" s="11" t="str">
        <x:f>VLOOKUP(E144,'danh-muc-linh-kien'!$A$2:$D$9,2,FALSE)</x:f>
        <x:v>RAM DDR4 8 GB</x:v>
      </x:c>
      <x:c r="G144" s="12" t="n">
        <x:f>VLOOKUP(E144,'danh-muc-linh-kien'!$A$2:$D$9,3,FALSE)</x:f>
        <x:v>450000</x:v>
      </x:c>
      <x:c r="H144" s="11" t="str">
        <x:f>VLOOKUP(E144,'danh-muc-linh-kien'!$A$2:$D$9,4,FALSE)</x:f>
        <x:v>Khong ap dung</x:v>
      </x:c>
      <x:c r="I144" s="11" t="n">
        <x:f>COUNTIFS('danh-muc-linh-kien'!$A$2:$A$9,E144)</x:f>
        <x:v>1</x:v>
      </x:c>
    </x:row>
    <x:row r="145" ht="25" customHeight="1">
      <x:c r="A145" s="9" t="str">
        <x:v>TRAM048</x:v>
      </x:c>
      <x:c r="B145" s="9" t="str">
        <x:v>HDD002</x:v>
      </x:c>
      <x:c r="C145" s="9" t="n">
        <x:v>8</x:v>
      </x:c>
      <x:c r="D145" s="10" t="n">
        <x:v>46296</x:v>
      </x:c>
      <x:c r="E145" s="11" t="str">
        <x:f>TRIM(B145)</x:f>
        <x:v>HDD002</x:v>
      </x:c>
      <x:c r="F145" s="11" t="str">
        <x:f>VLOOKUP(E145,'danh-muc-linh-kien'!$A$2:$D$9,2,FALSE)</x:f>
        <x:v>HDD SATA 2 TB</x:v>
      </x:c>
      <x:c r="G145" s="12" t="n">
        <x:f>VLOOKUP(E145,'danh-muc-linh-kien'!$A$2:$D$9,3,FALSE)</x:f>
        <x:v>1600000</x:v>
      </x:c>
      <x:c r="H145" s="11" t="str">
        <x:f>VLOOKUP(E145,'danh-muc-linh-kien'!$A$2:$D$9,4,FALSE)</x:f>
        <x:v>HDD</x:v>
      </x:c>
      <x:c r="I145" s="11" t="n">
        <x:f>COUNTIFS('danh-muc-linh-kien'!$A$2:$A$9,E145)</x:f>
        <x:v>1</x:v>
      </x:c>
    </x:row>
    <x:row r="146" ht="25" customHeight="1">
      <x:c r="A146" s="9" t="str">
        <x:v>TRAM049</x:v>
      </x:c>
      <x:c r="B146" s="9" t="str">
        <x:v>CPU002</x:v>
      </x:c>
      <x:c r="C146" s="9" t="n">
        <x:v>16</x:v>
      </x:c>
      <x:c r="D146" s="10" t="n">
        <x:v>46296</x:v>
      </x:c>
      <x:c r="E146" s="11" t="str">
        <x:f>TRIM(B146)</x:f>
        <x:v>CPU002</x:v>
      </x:c>
      <x:c r="F146" s="11" t="str">
        <x:f>VLOOKUP(E146,'danh-muc-linh-kien'!$A$2:$D$9,2,FALSE)</x:f>
        <x:v>CPU AMD Ryzen 5 5600</x:v>
      </x:c>
      <x:c r="G146" s="12" t="n">
        <x:f>VLOOKUP(E146,'danh-muc-linh-kien'!$A$2:$D$9,3,FALSE)</x:f>
        <x:v>2800000</x:v>
      </x:c>
      <x:c r="H146" s="11" t="str">
        <x:f>VLOOKUP(E146,'danh-muc-linh-kien'!$A$2:$D$9,4,FALSE)</x:f>
        <x:v>Khong ap dung</x:v>
      </x:c>
      <x:c r="I146" s="11" t="n">
        <x:f>COUNTIFS('danh-muc-linh-kien'!$A$2:$A$9,E146)</x:f>
        <x:v>1</x:v>
      </x:c>
    </x:row>
    <x:row r="147" ht="25" customHeight="1">
      <x:c r="A147" s="9" t="str">
        <x:v>TRAM049</x:v>
      </x:c>
      <x:c r="B147" s="9" t="str">
        <x:v>RAM002</x:v>
      </x:c>
      <x:c r="C147" s="9" t="n">
        <x:v>16</x:v>
      </x:c>
      <x:c r="D147" s="10" t="n">
        <x:v>46296</x:v>
      </x:c>
      <x:c r="E147" s="11" t="str">
        <x:f>TRIM(B147)</x:f>
        <x:v>RAM002</x:v>
      </x:c>
      <x:c r="F147" s="11" t="str">
        <x:f>VLOOKUP(E147,'danh-muc-linh-kien'!$A$2:$D$9,2,FALSE)</x:f>
        <x:v>RAM DDR4 16 GB</x:v>
      </x:c>
      <x:c r="G147" s="12" t="n">
        <x:f>VLOOKUP(E147,'danh-muc-linh-kien'!$A$2:$D$9,3,FALSE)</x:f>
        <x:v>850000</x:v>
      </x:c>
      <x:c r="H147" s="11" t="str">
        <x:f>VLOOKUP(E147,'danh-muc-linh-kien'!$A$2:$D$9,4,FALSE)</x:f>
        <x:v>Khong ap dung</x:v>
      </x:c>
      <x:c r="I147" s="11" t="n">
        <x:f>COUNTIFS('danh-muc-linh-kien'!$A$2:$A$9,E147)</x:f>
        <x:v>1</x:v>
      </x:c>
    </x:row>
    <x:row r="148" ht="25" customHeight="1">
      <x:c r="A148" s="9" t="str">
        <x:v>TRAM049</x:v>
      </x:c>
      <x:c r="B148" s="9" t="str">
        <x:v>SSD001</x:v>
      </x:c>
      <x:c r="C148" s="9" t="n">
        <x:v>16</x:v>
      </x:c>
      <x:c r="D148" s="10" t="n">
        <x:v>46296</x:v>
      </x:c>
      <x:c r="E148" s="11" t="str">
        <x:f>TRIM(B148)</x:f>
        <x:v>SSD001</x:v>
      </x:c>
      <x:c r="F148" s="11" t="str">
        <x:f>VLOOKUP(E148,'danh-muc-linh-kien'!$A$2:$D$9,2,FALSE)</x:f>
        <x:v>SSD SATA 256 GB</x:v>
      </x:c>
      <x:c r="G148" s="12" t="n">
        <x:f>VLOOKUP(E148,'danh-muc-linh-kien'!$A$2:$D$9,3,FALSE)</x:f>
        <x:v>500000</x:v>
      </x:c>
      <x:c r="H148" s="11" t="str">
        <x:f>VLOOKUP(E148,'danh-muc-linh-kien'!$A$2:$D$9,4,FALSE)</x:f>
        <x:v>SSD</x:v>
      </x:c>
      <x:c r="I148" s="11" t="n">
        <x:f>COUNTIFS('danh-muc-linh-kien'!$A$2:$A$9,E148)</x:f>
        <x:v>1</x:v>
      </x:c>
    </x:row>
    <x:row r="149" ht="25" customHeight="1">
      <x:c r="A149" s="9" t="str">
        <x:v>TRAM050</x:v>
      </x:c>
      <x:c r="B149" s="9" t="str">
        <x:v>  CPU001  </x:v>
      </x:c>
      <x:c r="C149" s="9" t="n">
        <x:v>8</x:v>
      </x:c>
      <x:c r="D149" s="10" t="n">
        <x:v>46296</x:v>
      </x:c>
      <x:c r="E149" s="11" t="str">
        <x:f>TRIM(B149)</x:f>
        <x:v>CPU001</x:v>
      </x:c>
      <x:c r="F149" s="11" t="str">
        <x:f>VLOOKUP(E149,'danh-muc-linh-kien'!$A$2:$D$9,2,FALSE)</x:f>
        <x:v>CPU Intel Core i5 12400</x:v>
      </x:c>
      <x:c r="G149" s="12" t="n">
        <x:f>VLOOKUP(E149,'danh-muc-linh-kien'!$A$2:$D$9,3,FALSE)</x:f>
        <x:v>3500000</x:v>
      </x:c>
      <x:c r="H149" s="11" t="str">
        <x:f>VLOOKUP(E149,'danh-muc-linh-kien'!$A$2:$D$9,4,FALSE)</x:f>
        <x:v>Khong ap dung</x:v>
      </x:c>
      <x:c r="I149" s="11" t="n">
        <x:f>COUNTIFS('danh-muc-linh-kien'!$A$2:$A$9,E149)</x:f>
        <x:v>1</x:v>
      </x:c>
    </x:row>
    <x:row r="150" ht="25" customHeight="1">
      <x:c r="A150" s="9" t="str">
        <x:v>TRAM050</x:v>
      </x:c>
      <x:c r="B150" s="9" t="str">
        <x:v>  RAM001  </x:v>
      </x:c>
      <x:c r="C150" s="9" t="n">
        <x:v>8</x:v>
      </x:c>
      <x:c r="D150" s="10" t="n">
        <x:v>46296</x:v>
      </x:c>
      <x:c r="E150" s="11" t="str">
        <x:f>TRIM(B150)</x:f>
        <x:v>RAM001</x:v>
      </x:c>
      <x:c r="F150" s="11" t="str">
        <x:f>VLOOKUP(E150,'danh-muc-linh-kien'!$A$2:$D$9,2,FALSE)</x:f>
        <x:v>RAM DDR4 8 GB</x:v>
      </x:c>
      <x:c r="G150" s="12" t="n">
        <x:f>VLOOKUP(E150,'danh-muc-linh-kien'!$A$2:$D$9,3,FALSE)</x:f>
        <x:v>450000</x:v>
      </x:c>
      <x:c r="H150" s="11" t="str">
        <x:f>VLOOKUP(E150,'danh-muc-linh-kien'!$A$2:$D$9,4,FALSE)</x:f>
        <x:v>Khong ap dung</x:v>
      </x:c>
      <x:c r="I150" s="11" t="n">
        <x:f>COUNTIFS('danh-muc-linh-kien'!$A$2:$A$9,E150)</x:f>
        <x:v>1</x:v>
      </x:c>
    </x:row>
    <x:row r="151" ht="25" customHeight="1">
      <x:c r="A151" s="9" t="str">
        <x:v>TRAM050</x:v>
      </x:c>
      <x:c r="B151" s="9" t="str">
        <x:v>  SSD002  </x:v>
      </x:c>
      <x:c r="C151" s="9" t="n">
        <x:v>8</x:v>
      </x:c>
      <x:c r="D151" s="10" t="n">
        <x:v>46296</x:v>
      </x:c>
      <x:c r="E151" s="11" t="str">
        <x:f>TRIM(B151)</x:f>
        <x:v>SSD002</x:v>
      </x:c>
      <x:c r="F151" s="11" t="str">
        <x:f>VLOOKUP(E151,'danh-muc-linh-kien'!$A$2:$D$9,2,FALSE)</x:f>
        <x:v>SSD NVMe 512 GB</x:v>
      </x:c>
      <x:c r="G151" s="12" t="n">
        <x:f>VLOOKUP(E151,'danh-muc-linh-kien'!$A$2:$D$9,3,FALSE)</x:f>
        <x:v>900000</x:v>
      </x:c>
      <x:c r="H151" s="11" t="str">
        <x:f>VLOOKUP(E151,'danh-muc-linh-kien'!$A$2:$D$9,4,FALSE)</x:f>
        <x:v>SSD</x:v>
      </x:c>
      <x:c r="I151" s="11" t="n">
        <x:f>COUNTIFS('danh-muc-linh-kien'!$A$2:$A$9,E151)</x:f>
        <x:v>1</x:v>
      </x:c>
    </x:row>
    <x:row r="152" ht="25" customHeight="1">
      <x:c r="A152" s="9" t="str">
        <x:v>TRAM051</x:v>
      </x:c>
      <x:c r="B152" s="9" t="str">
        <x:v>CPU002</x:v>
      </x:c>
      <x:c r="C152" s="9" t="n">
        <x:v>16</x:v>
      </x:c>
      <x:c r="D152" s="10" t="n">
        <x:v>46296</x:v>
      </x:c>
      <x:c r="E152" s="11" t="str">
        <x:f>TRIM(B152)</x:f>
        <x:v>CPU002</x:v>
      </x:c>
      <x:c r="F152" s="11" t="str">
        <x:f>VLOOKUP(E152,'danh-muc-linh-kien'!$A$2:$D$9,2,FALSE)</x:f>
        <x:v>CPU AMD Ryzen 5 5600</x:v>
      </x:c>
      <x:c r="G152" s="12" t="n">
        <x:f>VLOOKUP(E152,'danh-muc-linh-kien'!$A$2:$D$9,3,FALSE)</x:f>
        <x:v>2800000</x:v>
      </x:c>
      <x:c r="H152" s="11" t="str">
        <x:f>VLOOKUP(E152,'danh-muc-linh-kien'!$A$2:$D$9,4,FALSE)</x:f>
        <x:v>Khong ap dung</x:v>
      </x:c>
      <x:c r="I152" s="11" t="n">
        <x:f>COUNTIFS('danh-muc-linh-kien'!$A$2:$A$9,E152)</x:f>
        <x:v>1</x:v>
      </x:c>
    </x:row>
    <x:row r="153" ht="25" customHeight="1">
      <x:c r="A153" s="9" t="str">
        <x:v>TRAM051</x:v>
      </x:c>
      <x:c r="B153" s="9" t="str">
        <x:v>RAM002</x:v>
      </x:c>
      <x:c r="C153" s="9" t="n">
        <x:v>16</x:v>
      </x:c>
      <x:c r="D153" s="10" t="n">
        <x:v>46296</x:v>
      </x:c>
      <x:c r="E153" s="11" t="str">
        <x:f>TRIM(B153)</x:f>
        <x:v>RAM002</x:v>
      </x:c>
      <x:c r="F153" s="11" t="str">
        <x:f>VLOOKUP(E153,'danh-muc-linh-kien'!$A$2:$D$9,2,FALSE)</x:f>
        <x:v>RAM DDR4 16 GB</x:v>
      </x:c>
      <x:c r="G153" s="12" t="n">
        <x:f>VLOOKUP(E153,'danh-muc-linh-kien'!$A$2:$D$9,3,FALSE)</x:f>
        <x:v>850000</x:v>
      </x:c>
      <x:c r="H153" s="11" t="str">
        <x:f>VLOOKUP(E153,'danh-muc-linh-kien'!$A$2:$D$9,4,FALSE)</x:f>
        <x:v>Khong ap dung</x:v>
      </x:c>
      <x:c r="I153" s="11" t="n">
        <x:f>COUNTIFS('danh-muc-linh-kien'!$A$2:$A$9,E153)</x:f>
        <x:v>1</x:v>
      </x:c>
    </x:row>
    <x:row r="154" ht="25" customHeight="1">
      <x:c r="A154" s="9" t="str">
        <x:v>TRAM051</x:v>
      </x:c>
      <x:c r="B154" s="9" t="str">
        <x:v>HDD001</x:v>
      </x:c>
      <x:c r="C154" s="9" t="n">
        <x:v>16</x:v>
      </x:c>
      <x:c r="D154" s="10" t="n">
        <x:v>46296</x:v>
      </x:c>
      <x:c r="E154" s="11" t="str">
        <x:f>TRIM(B154)</x:f>
        <x:v>HDD001</x:v>
      </x:c>
      <x:c r="F154" s="11" t="str">
        <x:f>VLOOKUP(E154,'danh-muc-linh-kien'!$A$2:$D$9,2,FALSE)</x:f>
        <x:v>HDD SATA 1 TB</x:v>
      </x:c>
      <x:c r="G154" s="12" t="n">
        <x:f>VLOOKUP(E154,'danh-muc-linh-kien'!$A$2:$D$9,3,FALSE)</x:f>
        <x:v>1100000</x:v>
      </x:c>
      <x:c r="H154" s="11" t="str">
        <x:f>VLOOKUP(E154,'danh-muc-linh-kien'!$A$2:$D$9,4,FALSE)</x:f>
        <x:v>HDD</x:v>
      </x:c>
      <x:c r="I154" s="11" t="n">
        <x:f>COUNTIFS('danh-muc-linh-kien'!$A$2:$A$9,E154)</x:f>
        <x:v>1</x:v>
      </x:c>
    </x:row>
    <x:row r="155" ht="25" customHeight="1">
      <x:c r="A155" s="9" t="str">
        <x:v>TRAM052</x:v>
      </x:c>
      <x:c r="B155" s="9" t="str">
        <x:v>CPU001</x:v>
      </x:c>
      <x:c r="C155" s="9" t="n">
        <x:v>8</x:v>
      </x:c>
      <x:c r="D155" s="10" t="n">
        <x:v>46296</x:v>
      </x:c>
      <x:c r="E155" s="11" t="str">
        <x:f>TRIM(B155)</x:f>
        <x:v>CPU001</x:v>
      </x:c>
      <x:c r="F155" s="11" t="str">
        <x:f>VLOOKUP(E155,'danh-muc-linh-kien'!$A$2:$D$9,2,FALSE)</x:f>
        <x:v>CPU Intel Core i5 12400</x:v>
      </x:c>
      <x:c r="G155" s="12" t="n">
        <x:f>VLOOKUP(E155,'danh-muc-linh-kien'!$A$2:$D$9,3,FALSE)</x:f>
        <x:v>3500000</x:v>
      </x:c>
      <x:c r="H155" s="11" t="str">
        <x:f>VLOOKUP(E155,'danh-muc-linh-kien'!$A$2:$D$9,4,FALSE)</x:f>
        <x:v>Khong ap dung</x:v>
      </x:c>
      <x:c r="I155" s="11" t="n">
        <x:f>COUNTIFS('danh-muc-linh-kien'!$A$2:$A$9,E155)</x:f>
        <x:v>1</x:v>
      </x:c>
    </x:row>
    <x:row r="156" ht="25" customHeight="1">
      <x:c r="A156" s="9" t="str">
        <x:v>TRAM052</x:v>
      </x:c>
      <x:c r="B156" s="9" t="str">
        <x:v>RAM001</x:v>
      </x:c>
      <x:c r="C156" s="9" t="n">
        <x:v>8</x:v>
      </x:c>
      <x:c r="D156" s="10" t="n">
        <x:v>46296</x:v>
      </x:c>
      <x:c r="E156" s="11" t="str">
        <x:f>TRIM(B156)</x:f>
        <x:v>RAM001</x:v>
      </x:c>
      <x:c r="F156" s="11" t="str">
        <x:f>VLOOKUP(E156,'danh-muc-linh-kien'!$A$2:$D$9,2,FALSE)</x:f>
        <x:v>RAM DDR4 8 GB</x:v>
      </x:c>
      <x:c r="G156" s="12" t="n">
        <x:f>VLOOKUP(E156,'danh-muc-linh-kien'!$A$2:$D$9,3,FALSE)</x:f>
        <x:v>450000</x:v>
      </x:c>
      <x:c r="H156" s="11" t="str">
        <x:f>VLOOKUP(E156,'danh-muc-linh-kien'!$A$2:$D$9,4,FALSE)</x:f>
        <x:v>Khong ap dung</x:v>
      </x:c>
      <x:c r="I156" s="11" t="n">
        <x:f>COUNTIFS('danh-muc-linh-kien'!$A$2:$A$9,E156)</x:f>
        <x:v>1</x:v>
      </x:c>
    </x:row>
    <x:row r="157" ht="25" customHeight="1">
      <x:c r="A157" s="9" t="str">
        <x:v>TRAM052</x:v>
      </x:c>
      <x:c r="B157" s="9" t="str">
        <x:v>HDD002</x:v>
      </x:c>
      <x:c r="C157" s="9" t="n">
        <x:v>8</x:v>
      </x:c>
      <x:c r="D157" s="10" t="n">
        <x:v>46296</x:v>
      </x:c>
      <x:c r="E157" s="11" t="str">
        <x:f>TRIM(B157)</x:f>
        <x:v>HDD002</x:v>
      </x:c>
      <x:c r="F157" s="11" t="str">
        <x:f>VLOOKUP(E157,'danh-muc-linh-kien'!$A$2:$D$9,2,FALSE)</x:f>
        <x:v>HDD SATA 2 TB</x:v>
      </x:c>
      <x:c r="G157" s="12" t="n">
        <x:f>VLOOKUP(E157,'danh-muc-linh-kien'!$A$2:$D$9,3,FALSE)</x:f>
        <x:v>1600000</x:v>
      </x:c>
      <x:c r="H157" s="11" t="str">
        <x:f>VLOOKUP(E157,'danh-muc-linh-kien'!$A$2:$D$9,4,FALSE)</x:f>
        <x:v>HDD</x:v>
      </x:c>
      <x:c r="I157" s="11" t="n">
        <x:f>COUNTIFS('danh-muc-linh-kien'!$A$2:$A$9,E157)</x:f>
        <x:v>1</x:v>
      </x:c>
    </x:row>
    <x:row r="158" ht="25" customHeight="1">
      <x:c r="A158" s="9" t="str">
        <x:v>TRAM053</x:v>
      </x:c>
      <x:c r="B158" s="9" t="str">
        <x:v>CPU002</x:v>
      </x:c>
      <x:c r="C158" s="9" t="n">
        <x:v>16</x:v>
      </x:c>
      <x:c r="D158" s="10" t="n">
        <x:v>46296</x:v>
      </x:c>
      <x:c r="E158" s="11" t="str">
        <x:f>TRIM(B158)</x:f>
        <x:v>CPU002</x:v>
      </x:c>
      <x:c r="F158" s="11" t="str">
        <x:f>VLOOKUP(E158,'danh-muc-linh-kien'!$A$2:$D$9,2,FALSE)</x:f>
        <x:v>CPU AMD Ryzen 5 5600</x:v>
      </x:c>
      <x:c r="G158" s="12" t="n">
        <x:f>VLOOKUP(E158,'danh-muc-linh-kien'!$A$2:$D$9,3,FALSE)</x:f>
        <x:v>2800000</x:v>
      </x:c>
      <x:c r="H158" s="11" t="str">
        <x:f>VLOOKUP(E158,'danh-muc-linh-kien'!$A$2:$D$9,4,FALSE)</x:f>
        <x:v>Khong ap dung</x:v>
      </x:c>
      <x:c r="I158" s="11" t="n">
        <x:f>COUNTIFS('danh-muc-linh-kien'!$A$2:$A$9,E158)</x:f>
        <x:v>1</x:v>
      </x:c>
    </x:row>
    <x:row r="159" ht="25" customHeight="1">
      <x:c r="A159" s="9" t="str">
        <x:v>TRAM053</x:v>
      </x:c>
      <x:c r="B159" s="9" t="str">
        <x:v>RAM002</x:v>
      </x:c>
      <x:c r="C159" s="9" t="n">
        <x:v>16</x:v>
      </x:c>
      <x:c r="D159" s="10" t="n">
        <x:v>46296</x:v>
      </x:c>
      <x:c r="E159" s="11" t="str">
        <x:f>TRIM(B159)</x:f>
        <x:v>RAM002</x:v>
      </x:c>
      <x:c r="F159" s="11" t="str">
        <x:f>VLOOKUP(E159,'danh-muc-linh-kien'!$A$2:$D$9,2,FALSE)</x:f>
        <x:v>RAM DDR4 16 GB</x:v>
      </x:c>
      <x:c r="G159" s="12" t="n">
        <x:f>VLOOKUP(E159,'danh-muc-linh-kien'!$A$2:$D$9,3,FALSE)</x:f>
        <x:v>850000</x:v>
      </x:c>
      <x:c r="H159" s="11" t="str">
        <x:f>VLOOKUP(E159,'danh-muc-linh-kien'!$A$2:$D$9,4,FALSE)</x:f>
        <x:v>Khong ap dung</x:v>
      </x:c>
      <x:c r="I159" s="11" t="n">
        <x:f>COUNTIFS('danh-muc-linh-kien'!$A$2:$A$9,E159)</x:f>
        <x:v>1</x:v>
      </x:c>
    </x:row>
    <x:row r="160" ht="25" customHeight="1">
      <x:c r="A160" s="9" t="str">
        <x:v>TRAM053</x:v>
      </x:c>
      <x:c r="B160" s="9" t="str">
        <x:v>SSD001</x:v>
      </x:c>
      <x:c r="C160" s="9" t="n">
        <x:v>16</x:v>
      </x:c>
      <x:c r="D160" s="10" t="n">
        <x:v>46296</x:v>
      </x:c>
      <x:c r="E160" s="11" t="str">
        <x:f>TRIM(B160)</x:f>
        <x:v>SSD001</x:v>
      </x:c>
      <x:c r="F160" s="11" t="str">
        <x:f>VLOOKUP(E160,'danh-muc-linh-kien'!$A$2:$D$9,2,FALSE)</x:f>
        <x:v>SSD SATA 256 GB</x:v>
      </x:c>
      <x:c r="G160" s="12" t="n">
        <x:f>VLOOKUP(E160,'danh-muc-linh-kien'!$A$2:$D$9,3,FALSE)</x:f>
        <x:v>500000</x:v>
      </x:c>
      <x:c r="H160" s="11" t="str">
        <x:f>VLOOKUP(E160,'danh-muc-linh-kien'!$A$2:$D$9,4,FALSE)</x:f>
        <x:v>SSD</x:v>
      </x:c>
      <x:c r="I160" s="11" t="n">
        <x:f>COUNTIFS('danh-muc-linh-kien'!$A$2:$A$9,E160)</x:f>
        <x:v>1</x:v>
      </x:c>
    </x:row>
    <x:row r="161" ht="25" customHeight="1">
      <x:c r="A161" s="9" t="str">
        <x:v>TRAM054</x:v>
      </x:c>
      <x:c r="B161" s="9" t="str">
        <x:v>CPU001</x:v>
      </x:c>
      <x:c r="C161" s="9" t="n">
        <x:v>8</x:v>
      </x:c>
      <x:c r="D161" s="10" t="n">
        <x:v>46296</x:v>
      </x:c>
      <x:c r="E161" s="11" t="str">
        <x:f>TRIM(B161)</x:f>
        <x:v>CPU001</x:v>
      </x:c>
      <x:c r="F161" s="11" t="str">
        <x:f>VLOOKUP(E161,'danh-muc-linh-kien'!$A$2:$D$9,2,FALSE)</x:f>
        <x:v>CPU Intel Core i5 12400</x:v>
      </x:c>
      <x:c r="G161" s="12" t="n">
        <x:f>VLOOKUP(E161,'danh-muc-linh-kien'!$A$2:$D$9,3,FALSE)</x:f>
        <x:v>3500000</x:v>
      </x:c>
      <x:c r="H161" s="11" t="str">
        <x:f>VLOOKUP(E161,'danh-muc-linh-kien'!$A$2:$D$9,4,FALSE)</x:f>
        <x:v>Khong ap dung</x:v>
      </x:c>
      <x:c r="I161" s="11" t="n">
        <x:f>COUNTIFS('danh-muc-linh-kien'!$A$2:$A$9,E161)</x:f>
        <x:v>1</x:v>
      </x:c>
    </x:row>
    <x:row r="162" ht="25" customHeight="1">
      <x:c r="A162" s="9" t="str">
        <x:v>TRAM054</x:v>
      </x:c>
      <x:c r="B162" s="9" t="str">
        <x:v>RAM001</x:v>
      </x:c>
      <x:c r="C162" s="9" t="n">
        <x:v>8</x:v>
      </x:c>
      <x:c r="D162" s="10" t="n">
        <x:v>46296</x:v>
      </x:c>
      <x:c r="E162" s="11" t="str">
        <x:f>TRIM(B162)</x:f>
        <x:v>RAM001</x:v>
      </x:c>
      <x:c r="F162" s="11" t="str">
        <x:f>VLOOKUP(E162,'danh-muc-linh-kien'!$A$2:$D$9,2,FALSE)</x:f>
        <x:v>RAM DDR4 8 GB</x:v>
      </x:c>
      <x:c r="G162" s="12" t="n">
        <x:f>VLOOKUP(E162,'danh-muc-linh-kien'!$A$2:$D$9,3,FALSE)</x:f>
        <x:v>450000</x:v>
      </x:c>
      <x:c r="H162" s="11" t="str">
        <x:f>VLOOKUP(E162,'danh-muc-linh-kien'!$A$2:$D$9,4,FALSE)</x:f>
        <x:v>Khong ap dung</x:v>
      </x:c>
      <x:c r="I162" s="11" t="n">
        <x:f>COUNTIFS('danh-muc-linh-kien'!$A$2:$A$9,E162)</x:f>
        <x:v>1</x:v>
      </x:c>
    </x:row>
    <x:row r="163" ht="25" customHeight="1">
      <x:c r="A163" s="9" t="str">
        <x:v>TRAM054</x:v>
      </x:c>
      <x:c r="B163" s="9" t="str">
        <x:v>SSD002</x:v>
      </x:c>
      <x:c r="C163" s="9" t="n">
        <x:v>8</x:v>
      </x:c>
      <x:c r="D163" s="10" t="n">
        <x:v>46296</x:v>
      </x:c>
      <x:c r="E163" s="11" t="str">
        <x:f>TRIM(B163)</x:f>
        <x:v>SSD002</x:v>
      </x:c>
      <x:c r="F163" s="11" t="str">
        <x:f>VLOOKUP(E163,'danh-muc-linh-kien'!$A$2:$D$9,2,FALSE)</x:f>
        <x:v>SSD NVMe 512 GB</x:v>
      </x:c>
      <x:c r="G163" s="12" t="n">
        <x:f>VLOOKUP(E163,'danh-muc-linh-kien'!$A$2:$D$9,3,FALSE)</x:f>
        <x:v>900000</x:v>
      </x:c>
      <x:c r="H163" s="11" t="str">
        <x:f>VLOOKUP(E163,'danh-muc-linh-kien'!$A$2:$D$9,4,FALSE)</x:f>
        <x:v>SSD</x:v>
      </x:c>
      <x:c r="I163" s="11" t="n">
        <x:f>COUNTIFS('danh-muc-linh-kien'!$A$2:$A$9,E163)</x:f>
        <x:v>1</x:v>
      </x:c>
    </x:row>
    <x:row r="164" ht="25" customHeight="1">
      <x:c r="A164" s="9" t="str">
        <x:v>TRAM055</x:v>
      </x:c>
      <x:c r="B164" s="9" t="str">
        <x:v>CPU002</x:v>
      </x:c>
      <x:c r="C164" s="9" t="n">
        <x:v>16</x:v>
      </x:c>
      <x:c r="D164" s="10" t="n">
        <x:v>46296</x:v>
      </x:c>
      <x:c r="E164" s="11" t="str">
        <x:f>TRIM(B164)</x:f>
        <x:v>CPU002</x:v>
      </x:c>
      <x:c r="F164" s="11" t="str">
        <x:f>VLOOKUP(E164,'danh-muc-linh-kien'!$A$2:$D$9,2,FALSE)</x:f>
        <x:v>CPU AMD Ryzen 5 5600</x:v>
      </x:c>
      <x:c r="G164" s="12" t="n">
        <x:f>VLOOKUP(E164,'danh-muc-linh-kien'!$A$2:$D$9,3,FALSE)</x:f>
        <x:v>2800000</x:v>
      </x:c>
      <x:c r="H164" s="11" t="str">
        <x:f>VLOOKUP(E164,'danh-muc-linh-kien'!$A$2:$D$9,4,FALSE)</x:f>
        <x:v>Khong ap dung</x:v>
      </x:c>
      <x:c r="I164" s="11" t="n">
        <x:f>COUNTIFS('danh-muc-linh-kien'!$A$2:$A$9,E164)</x:f>
        <x:v>1</x:v>
      </x:c>
    </x:row>
    <x:row r="165" ht="25" customHeight="1">
      <x:c r="A165" s="9" t="str">
        <x:v>TRAM055</x:v>
      </x:c>
      <x:c r="B165" s="9" t="str">
        <x:v>RAM002</x:v>
      </x:c>
      <x:c r="C165" s="9" t="n">
        <x:v>16</x:v>
      </x:c>
      <x:c r="D165" s="10" t="n">
        <x:v>46296</x:v>
      </x:c>
      <x:c r="E165" s="11" t="str">
        <x:f>TRIM(B165)</x:f>
        <x:v>RAM002</x:v>
      </x:c>
      <x:c r="F165" s="11" t="str">
        <x:f>VLOOKUP(E165,'danh-muc-linh-kien'!$A$2:$D$9,2,FALSE)</x:f>
        <x:v>RAM DDR4 16 GB</x:v>
      </x:c>
      <x:c r="G165" s="12" t="n">
        <x:f>VLOOKUP(E165,'danh-muc-linh-kien'!$A$2:$D$9,3,FALSE)</x:f>
        <x:v>850000</x:v>
      </x:c>
      <x:c r="H165" s="11" t="str">
        <x:f>VLOOKUP(E165,'danh-muc-linh-kien'!$A$2:$D$9,4,FALSE)</x:f>
        <x:v>Khong ap dung</x:v>
      </x:c>
      <x:c r="I165" s="11" t="n">
        <x:f>COUNTIFS('danh-muc-linh-kien'!$A$2:$A$9,E165)</x:f>
        <x:v>1</x:v>
      </x:c>
    </x:row>
    <x:row r="166" ht="25" customHeight="1">
      <x:c r="A166" s="9" t="str">
        <x:v>TRAM055</x:v>
      </x:c>
      <x:c r="B166" s="9" t="str">
        <x:v>HDD001</x:v>
      </x:c>
      <x:c r="C166" s="9" t="n">
        <x:v>16</x:v>
      </x:c>
      <x:c r="D166" s="10" t="n">
        <x:v>46296</x:v>
      </x:c>
      <x:c r="E166" s="11" t="str">
        <x:f>TRIM(B166)</x:f>
        <x:v>HDD001</x:v>
      </x:c>
      <x:c r="F166" s="11" t="str">
        <x:f>VLOOKUP(E166,'danh-muc-linh-kien'!$A$2:$D$9,2,FALSE)</x:f>
        <x:v>HDD SATA 1 TB</x:v>
      </x:c>
      <x:c r="G166" s="12" t="n">
        <x:f>VLOOKUP(E166,'danh-muc-linh-kien'!$A$2:$D$9,3,FALSE)</x:f>
        <x:v>1100000</x:v>
      </x:c>
      <x:c r="H166" s="11" t="str">
        <x:f>VLOOKUP(E166,'danh-muc-linh-kien'!$A$2:$D$9,4,FALSE)</x:f>
        <x:v>HDD</x:v>
      </x:c>
      <x:c r="I166" s="11" t="n">
        <x:f>COUNTIFS('danh-muc-linh-kien'!$A$2:$A$9,E166)</x:f>
        <x:v>1</x:v>
      </x:c>
    </x:row>
    <x:row r="167" ht="25" customHeight="1">
      <x:c r="A167" s="9" t="str">
        <x:v>TRAM056</x:v>
      </x:c>
      <x:c r="B167" s="9" t="str">
        <x:v>CPU001</x:v>
      </x:c>
      <x:c r="C167" s="9" t="n">
        <x:v>8</x:v>
      </x:c>
      <x:c r="D167" s="10" t="n">
        <x:v>46296</x:v>
      </x:c>
      <x:c r="E167" s="11" t="str">
        <x:f>TRIM(B167)</x:f>
        <x:v>CPU001</x:v>
      </x:c>
      <x:c r="F167" s="11" t="str">
        <x:f>VLOOKUP(E167,'danh-muc-linh-kien'!$A$2:$D$9,2,FALSE)</x:f>
        <x:v>CPU Intel Core i5 12400</x:v>
      </x:c>
      <x:c r="G167" s="12" t="n">
        <x:f>VLOOKUP(E167,'danh-muc-linh-kien'!$A$2:$D$9,3,FALSE)</x:f>
        <x:v>3500000</x:v>
      </x:c>
      <x:c r="H167" s="11" t="str">
        <x:f>VLOOKUP(E167,'danh-muc-linh-kien'!$A$2:$D$9,4,FALSE)</x:f>
        <x:v>Khong ap dung</x:v>
      </x:c>
      <x:c r="I167" s="11" t="n">
        <x:f>COUNTIFS('danh-muc-linh-kien'!$A$2:$A$9,E167)</x:f>
        <x:v>1</x:v>
      </x:c>
    </x:row>
    <x:row r="168" ht="25" customHeight="1">
      <x:c r="A168" s="9" t="str">
        <x:v>TRAM056</x:v>
      </x:c>
      <x:c r="B168" s="9" t="str">
        <x:v>RAM001</x:v>
      </x:c>
      <x:c r="C168" s="9" t="n">
        <x:v>8</x:v>
      </x:c>
      <x:c r="D168" s="10" t="n">
        <x:v>46296</x:v>
      </x:c>
      <x:c r="E168" s="11" t="str">
        <x:f>TRIM(B168)</x:f>
        <x:v>RAM001</x:v>
      </x:c>
      <x:c r="F168" s="11" t="str">
        <x:f>VLOOKUP(E168,'danh-muc-linh-kien'!$A$2:$D$9,2,FALSE)</x:f>
        <x:v>RAM DDR4 8 GB</x:v>
      </x:c>
      <x:c r="G168" s="12" t="n">
        <x:f>VLOOKUP(E168,'danh-muc-linh-kien'!$A$2:$D$9,3,FALSE)</x:f>
        <x:v>450000</x:v>
      </x:c>
      <x:c r="H168" s="11" t="str">
        <x:f>VLOOKUP(E168,'danh-muc-linh-kien'!$A$2:$D$9,4,FALSE)</x:f>
        <x:v>Khong ap dung</x:v>
      </x:c>
      <x:c r="I168" s="11" t="n">
        <x:f>COUNTIFS('danh-muc-linh-kien'!$A$2:$A$9,E168)</x:f>
        <x:v>1</x:v>
      </x:c>
    </x:row>
    <x:row r="169" ht="25" customHeight="1">
      <x:c r="A169" s="9" t="str">
        <x:v>TRAM056</x:v>
      </x:c>
      <x:c r="B169" s="9" t="str">
        <x:v>HDD002</x:v>
      </x:c>
      <x:c r="C169" s="9" t="n">
        <x:v>8</x:v>
      </x:c>
      <x:c r="D169" s="10" t="n">
        <x:v>46296</x:v>
      </x:c>
      <x:c r="E169" s="11" t="str">
        <x:f>TRIM(B169)</x:f>
        <x:v>HDD002</x:v>
      </x:c>
      <x:c r="F169" s="11" t="str">
        <x:f>VLOOKUP(E169,'danh-muc-linh-kien'!$A$2:$D$9,2,FALSE)</x:f>
        <x:v>HDD SATA 2 TB</x:v>
      </x:c>
      <x:c r="G169" s="12" t="n">
        <x:f>VLOOKUP(E169,'danh-muc-linh-kien'!$A$2:$D$9,3,FALSE)</x:f>
        <x:v>1600000</x:v>
      </x:c>
      <x:c r="H169" s="11" t="str">
        <x:f>VLOOKUP(E169,'danh-muc-linh-kien'!$A$2:$D$9,4,FALSE)</x:f>
        <x:v>HDD</x:v>
      </x:c>
      <x:c r="I169" s="11" t="n">
        <x:f>COUNTIFS('danh-muc-linh-kien'!$A$2:$A$9,E169)</x:f>
        <x:v>1</x:v>
      </x:c>
    </x:row>
    <x:row r="170" ht="25" customHeight="1">
      <x:c r="A170" s="9" t="str">
        <x:v>TRAM057</x:v>
      </x:c>
      <x:c r="B170" s="9" t="str">
        <x:v>CPU002</x:v>
      </x:c>
      <x:c r="C170" s="9" t="n">
        <x:v>16</x:v>
      </x:c>
      <x:c r="D170" s="10" t="n">
        <x:v>46296</x:v>
      </x:c>
      <x:c r="E170" s="11" t="str">
        <x:f>TRIM(B170)</x:f>
        <x:v>CPU002</x:v>
      </x:c>
      <x:c r="F170" s="11" t="str">
        <x:f>VLOOKUP(E170,'danh-muc-linh-kien'!$A$2:$D$9,2,FALSE)</x:f>
        <x:v>CPU AMD Ryzen 5 5600</x:v>
      </x:c>
      <x:c r="G170" s="12" t="n">
        <x:f>VLOOKUP(E170,'danh-muc-linh-kien'!$A$2:$D$9,3,FALSE)</x:f>
        <x:v>2800000</x:v>
      </x:c>
      <x:c r="H170" s="11" t="str">
        <x:f>VLOOKUP(E170,'danh-muc-linh-kien'!$A$2:$D$9,4,FALSE)</x:f>
        <x:v>Khong ap dung</x:v>
      </x:c>
      <x:c r="I170" s="11" t="n">
        <x:f>COUNTIFS('danh-muc-linh-kien'!$A$2:$A$9,E170)</x:f>
        <x:v>1</x:v>
      </x:c>
    </x:row>
    <x:row r="171" ht="25" customHeight="1">
      <x:c r="A171" s="9" t="str">
        <x:v>TRAM057</x:v>
      </x:c>
      <x:c r="B171" s="9" t="str">
        <x:v>RAM002</x:v>
      </x:c>
      <x:c r="C171" s="9" t="n">
        <x:v>16</x:v>
      </x:c>
      <x:c r="D171" s="10" t="n">
        <x:v>46296</x:v>
      </x:c>
      <x:c r="E171" s="11" t="str">
        <x:f>TRIM(B171)</x:f>
        <x:v>RAM002</x:v>
      </x:c>
      <x:c r="F171" s="11" t="str">
        <x:f>VLOOKUP(E171,'danh-muc-linh-kien'!$A$2:$D$9,2,FALSE)</x:f>
        <x:v>RAM DDR4 16 GB</x:v>
      </x:c>
      <x:c r="G171" s="12" t="n">
        <x:f>VLOOKUP(E171,'danh-muc-linh-kien'!$A$2:$D$9,3,FALSE)</x:f>
        <x:v>850000</x:v>
      </x:c>
      <x:c r="H171" s="11" t="str">
        <x:f>VLOOKUP(E171,'danh-muc-linh-kien'!$A$2:$D$9,4,FALSE)</x:f>
        <x:v>Khong ap dung</x:v>
      </x:c>
      <x:c r="I171" s="11" t="n">
        <x:f>COUNTIFS('danh-muc-linh-kien'!$A$2:$A$9,E171)</x:f>
        <x:v>1</x:v>
      </x:c>
    </x:row>
    <x:row r="172" ht="25" customHeight="1">
      <x:c r="A172" s="9" t="str">
        <x:v>TRAM057</x:v>
      </x:c>
      <x:c r="B172" s="9" t="str">
        <x:v>SSD001</x:v>
      </x:c>
      <x:c r="C172" s="9" t="n">
        <x:v>16</x:v>
      </x:c>
      <x:c r="D172" s="10" t="n">
        <x:v>46296</x:v>
      </x:c>
      <x:c r="E172" s="11" t="str">
        <x:f>TRIM(B172)</x:f>
        <x:v>SSD001</x:v>
      </x:c>
      <x:c r="F172" s="11" t="str">
        <x:f>VLOOKUP(E172,'danh-muc-linh-kien'!$A$2:$D$9,2,FALSE)</x:f>
        <x:v>SSD SATA 256 GB</x:v>
      </x:c>
      <x:c r="G172" s="12" t="n">
        <x:f>VLOOKUP(E172,'danh-muc-linh-kien'!$A$2:$D$9,3,FALSE)</x:f>
        <x:v>500000</x:v>
      </x:c>
      <x:c r="H172" s="11" t="str">
        <x:f>VLOOKUP(E172,'danh-muc-linh-kien'!$A$2:$D$9,4,FALSE)</x:f>
        <x:v>SSD</x:v>
      </x:c>
      <x:c r="I172" s="11" t="n">
        <x:f>COUNTIFS('danh-muc-linh-kien'!$A$2:$A$9,E172)</x:f>
        <x:v>1</x:v>
      </x:c>
    </x:row>
    <x:row r="173" ht="25" customHeight="1">
      <x:c r="A173" s="9" t="str">
        <x:v>TRAM058</x:v>
      </x:c>
      <x:c r="B173" s="9" t="str">
        <x:v>CPU001</x:v>
      </x:c>
      <x:c r="C173" s="9" t="n">
        <x:v>8</x:v>
      </x:c>
      <x:c r="D173" s="10" t="n">
        <x:v>46296</x:v>
      </x:c>
      <x:c r="E173" s="11" t="str">
        <x:f>TRIM(B173)</x:f>
        <x:v>CPU001</x:v>
      </x:c>
      <x:c r="F173" s="11" t="str">
        <x:f>VLOOKUP(E173,'danh-muc-linh-kien'!$A$2:$D$9,2,FALSE)</x:f>
        <x:v>CPU Intel Core i5 12400</x:v>
      </x:c>
      <x:c r="G173" s="12" t="n">
        <x:f>VLOOKUP(E173,'danh-muc-linh-kien'!$A$2:$D$9,3,FALSE)</x:f>
        <x:v>3500000</x:v>
      </x:c>
      <x:c r="H173" s="11" t="str">
        <x:f>VLOOKUP(E173,'danh-muc-linh-kien'!$A$2:$D$9,4,FALSE)</x:f>
        <x:v>Khong ap dung</x:v>
      </x:c>
      <x:c r="I173" s="11" t="n">
        <x:f>COUNTIFS('danh-muc-linh-kien'!$A$2:$A$9,E173)</x:f>
        <x:v>1</x:v>
      </x:c>
    </x:row>
    <x:row r="174" ht="25" customHeight="1">
      <x:c r="A174" s="9" t="str">
        <x:v>TRAM058</x:v>
      </x:c>
      <x:c r="B174" s="9" t="str">
        <x:v>RAM001</x:v>
      </x:c>
      <x:c r="C174" s="9" t="n">
        <x:v>8</x:v>
      </x:c>
      <x:c r="D174" s="10" t="n">
        <x:v>46296</x:v>
      </x:c>
      <x:c r="E174" s="11" t="str">
        <x:f>TRIM(B174)</x:f>
        <x:v>RAM001</x:v>
      </x:c>
      <x:c r="F174" s="11" t="str">
        <x:f>VLOOKUP(E174,'danh-muc-linh-kien'!$A$2:$D$9,2,FALSE)</x:f>
        <x:v>RAM DDR4 8 GB</x:v>
      </x:c>
      <x:c r="G174" s="12" t="n">
        <x:f>VLOOKUP(E174,'danh-muc-linh-kien'!$A$2:$D$9,3,FALSE)</x:f>
        <x:v>450000</x:v>
      </x:c>
      <x:c r="H174" s="11" t="str">
        <x:f>VLOOKUP(E174,'danh-muc-linh-kien'!$A$2:$D$9,4,FALSE)</x:f>
        <x:v>Khong ap dung</x:v>
      </x:c>
      <x:c r="I174" s="11" t="n">
        <x:f>COUNTIFS('danh-muc-linh-kien'!$A$2:$A$9,E174)</x:f>
        <x:v>1</x:v>
      </x:c>
    </x:row>
    <x:row r="175" ht="25" customHeight="1">
      <x:c r="A175" s="9" t="str">
        <x:v>TRAM058</x:v>
      </x:c>
      <x:c r="B175" s="9" t="str">
        <x:v>SSD002</x:v>
      </x:c>
      <x:c r="C175" s="9" t="n">
        <x:v>8</x:v>
      </x:c>
      <x:c r="D175" s="10" t="n">
        <x:v>46296</x:v>
      </x:c>
      <x:c r="E175" s="11" t="str">
        <x:f>TRIM(B175)</x:f>
        <x:v>SSD002</x:v>
      </x:c>
      <x:c r="F175" s="11" t="str">
        <x:f>VLOOKUP(E175,'danh-muc-linh-kien'!$A$2:$D$9,2,FALSE)</x:f>
        <x:v>SSD NVMe 512 GB</x:v>
      </x:c>
      <x:c r="G175" s="12" t="n">
        <x:f>VLOOKUP(E175,'danh-muc-linh-kien'!$A$2:$D$9,3,FALSE)</x:f>
        <x:v>900000</x:v>
      </x:c>
      <x:c r="H175" s="11" t="str">
        <x:f>VLOOKUP(E175,'danh-muc-linh-kien'!$A$2:$D$9,4,FALSE)</x:f>
        <x:v>SSD</x:v>
      </x:c>
      <x:c r="I175" s="11" t="n">
        <x:f>COUNTIFS('danh-muc-linh-kien'!$A$2:$A$9,E175)</x:f>
        <x:v>1</x:v>
      </x:c>
    </x:row>
    <x:row r="176" ht="25" customHeight="1">
      <x:c r="A176" s="9" t="str">
        <x:v>TRAM059</x:v>
      </x:c>
      <x:c r="B176" s="9" t="str">
        <x:v>CPU002</x:v>
      </x:c>
      <x:c r="C176" s="9" t="n">
        <x:v>16</x:v>
      </x:c>
      <x:c r="D176" s="10" t="n">
        <x:v>46296</x:v>
      </x:c>
      <x:c r="E176" s="11" t="str">
        <x:f>TRIM(B176)</x:f>
        <x:v>CPU002</x:v>
      </x:c>
      <x:c r="F176" s="11" t="str">
        <x:f>VLOOKUP(E176,'danh-muc-linh-kien'!$A$2:$D$9,2,FALSE)</x:f>
        <x:v>CPU AMD Ryzen 5 5600</x:v>
      </x:c>
      <x:c r="G176" s="12" t="n">
        <x:f>VLOOKUP(E176,'danh-muc-linh-kien'!$A$2:$D$9,3,FALSE)</x:f>
        <x:v>2800000</x:v>
      </x:c>
      <x:c r="H176" s="11" t="str">
        <x:f>VLOOKUP(E176,'danh-muc-linh-kien'!$A$2:$D$9,4,FALSE)</x:f>
        <x:v>Khong ap dung</x:v>
      </x:c>
      <x:c r="I176" s="11" t="n">
        <x:f>COUNTIFS('danh-muc-linh-kien'!$A$2:$A$9,E176)</x:f>
        <x:v>1</x:v>
      </x:c>
    </x:row>
    <x:row r="177" ht="25" customHeight="1">
      <x:c r="A177" s="9" t="str">
        <x:v>TRAM059</x:v>
      </x:c>
      <x:c r="B177" s="9" t="str">
        <x:v>RAM002</x:v>
      </x:c>
      <x:c r="C177" s="9" t="n">
        <x:v>16</x:v>
      </x:c>
      <x:c r="D177" s="10" t="n">
        <x:v>46296</x:v>
      </x:c>
      <x:c r="E177" s="11" t="str">
        <x:f>TRIM(B177)</x:f>
        <x:v>RAM002</x:v>
      </x:c>
      <x:c r="F177" s="11" t="str">
        <x:f>VLOOKUP(E177,'danh-muc-linh-kien'!$A$2:$D$9,2,FALSE)</x:f>
        <x:v>RAM DDR4 16 GB</x:v>
      </x:c>
      <x:c r="G177" s="12" t="n">
        <x:f>VLOOKUP(E177,'danh-muc-linh-kien'!$A$2:$D$9,3,FALSE)</x:f>
        <x:v>850000</x:v>
      </x:c>
      <x:c r="H177" s="11" t="str">
        <x:f>VLOOKUP(E177,'danh-muc-linh-kien'!$A$2:$D$9,4,FALSE)</x:f>
        <x:v>Khong ap dung</x:v>
      </x:c>
      <x:c r="I177" s="11" t="n">
        <x:f>COUNTIFS('danh-muc-linh-kien'!$A$2:$A$9,E177)</x:f>
        <x:v>1</x:v>
      </x:c>
    </x:row>
    <x:row r="178" ht="25" customHeight="1">
      <x:c r="A178" s="9" t="str">
        <x:v>TRAM059</x:v>
      </x:c>
      <x:c r="B178" s="9" t="str">
        <x:v>HDD001</x:v>
      </x:c>
      <x:c r="C178" s="9" t="n">
        <x:v>16</x:v>
      </x:c>
      <x:c r="D178" s="10" t="n">
        <x:v>46296</x:v>
      </x:c>
      <x:c r="E178" s="11" t="str">
        <x:f>TRIM(B178)</x:f>
        <x:v>HDD001</x:v>
      </x:c>
      <x:c r="F178" s="11" t="str">
        <x:f>VLOOKUP(E178,'danh-muc-linh-kien'!$A$2:$D$9,2,FALSE)</x:f>
        <x:v>HDD SATA 1 TB</x:v>
      </x:c>
      <x:c r="G178" s="12" t="n">
        <x:f>VLOOKUP(E178,'danh-muc-linh-kien'!$A$2:$D$9,3,FALSE)</x:f>
        <x:v>1100000</x:v>
      </x:c>
      <x:c r="H178" s="11" t="str">
        <x:f>VLOOKUP(E178,'danh-muc-linh-kien'!$A$2:$D$9,4,FALSE)</x:f>
        <x:v>HDD</x:v>
      </x:c>
      <x:c r="I178" s="11" t="n">
        <x:f>COUNTIFS('danh-muc-linh-kien'!$A$2:$A$9,E178)</x:f>
        <x:v>1</x:v>
      </x:c>
    </x:row>
    <x:row r="179" ht="25" customHeight="1">
      <x:c r="A179" s="9" t="str">
        <x:v>TRAM060</x:v>
      </x:c>
      <x:c r="B179" s="9" t="str">
        <x:v>  CPU001  </x:v>
      </x:c>
      <x:c r="C179" s="9" t="n">
        <x:v>8</x:v>
      </x:c>
      <x:c r="D179" s="10" t="n">
        <x:v>46296</x:v>
      </x:c>
      <x:c r="E179" s="11" t="str">
        <x:f>TRIM(B179)</x:f>
        <x:v>CPU001</x:v>
      </x:c>
      <x:c r="F179" s="11" t="str">
        <x:f>VLOOKUP(E179,'danh-muc-linh-kien'!$A$2:$D$9,2,FALSE)</x:f>
        <x:v>CPU Intel Core i5 12400</x:v>
      </x:c>
      <x:c r="G179" s="12" t="n">
        <x:f>VLOOKUP(E179,'danh-muc-linh-kien'!$A$2:$D$9,3,FALSE)</x:f>
        <x:v>3500000</x:v>
      </x:c>
      <x:c r="H179" s="11" t="str">
        <x:f>VLOOKUP(E179,'danh-muc-linh-kien'!$A$2:$D$9,4,FALSE)</x:f>
        <x:v>Khong ap dung</x:v>
      </x:c>
      <x:c r="I179" s="11" t="n">
        <x:f>COUNTIFS('danh-muc-linh-kien'!$A$2:$A$9,E179)</x:f>
        <x:v>1</x:v>
      </x:c>
    </x:row>
    <x:row r="180" ht="25" customHeight="1">
      <x:c r="A180" s="9" t="str">
        <x:v>TRAM060</x:v>
      </x:c>
      <x:c r="B180" s="9" t="str">
        <x:v>  RAM001  </x:v>
      </x:c>
      <x:c r="C180" s="9" t="n">
        <x:v>8</x:v>
      </x:c>
      <x:c r="D180" s="10" t="n">
        <x:v>46296</x:v>
      </x:c>
      <x:c r="E180" s="11" t="str">
        <x:f>TRIM(B180)</x:f>
        <x:v>RAM001</x:v>
      </x:c>
      <x:c r="F180" s="11" t="str">
        <x:f>VLOOKUP(E180,'danh-muc-linh-kien'!$A$2:$D$9,2,FALSE)</x:f>
        <x:v>RAM DDR4 8 GB</x:v>
      </x:c>
      <x:c r="G180" s="12" t="n">
        <x:f>VLOOKUP(E180,'danh-muc-linh-kien'!$A$2:$D$9,3,FALSE)</x:f>
        <x:v>450000</x:v>
      </x:c>
      <x:c r="H180" s="11" t="str">
        <x:f>VLOOKUP(E180,'danh-muc-linh-kien'!$A$2:$D$9,4,FALSE)</x:f>
        <x:v>Khong ap dung</x:v>
      </x:c>
      <x:c r="I180" s="11" t="n">
        <x:f>COUNTIFS('danh-muc-linh-kien'!$A$2:$A$9,E180)</x:f>
        <x:v>1</x:v>
      </x:c>
    </x:row>
    <x:row r="181" ht="25" customHeight="1">
      <x:c r="A181" s="9" t="str">
        <x:v>TRAM060</x:v>
      </x:c>
      <x:c r="B181" s="9" t="str">
        <x:v>  HDD002  </x:v>
      </x:c>
      <x:c r="C181" s="9" t="n">
        <x:v>8</x:v>
      </x:c>
      <x:c r="D181" s="10" t="n">
        <x:v>46296</x:v>
      </x:c>
      <x:c r="E181" s="11" t="str">
        <x:f>TRIM(B181)</x:f>
        <x:v>HDD002</x:v>
      </x:c>
      <x:c r="F181" s="11" t="str">
        <x:f>VLOOKUP(E181,'danh-muc-linh-kien'!$A$2:$D$9,2,FALSE)</x:f>
        <x:v>HDD SATA 2 TB</x:v>
      </x:c>
      <x:c r="G181" s="12" t="n">
        <x:f>VLOOKUP(E181,'danh-muc-linh-kien'!$A$2:$D$9,3,FALSE)</x:f>
        <x:v>1600000</x:v>
      </x:c>
      <x:c r="H181" s="11" t="str">
        <x:f>VLOOKUP(E181,'danh-muc-linh-kien'!$A$2:$D$9,4,FALSE)</x:f>
        <x:v>HDD</x:v>
      </x:c>
      <x:c r="I181" s="11" t="n">
        <x:f>COUNTIFS('danh-muc-linh-kien'!$A$2:$A$9,E181)</x:f>
        <x:v>1</x:v>
      </x:c>
    </x:row>
    <x:row r="182" ht="25" customHeight="1">
      <x:c r="A182" s="9" t="str">
        <x:v>TRAM061</x:v>
      </x:c>
      <x:c r="B182" s="9" t="str">
        <x:v>CPU002</x:v>
      </x:c>
      <x:c r="C182" s="9" t="n">
        <x:v>16</x:v>
      </x:c>
      <x:c r="D182" s="10" t="n">
        <x:v>46296</x:v>
      </x:c>
      <x:c r="E182" s="11" t="str">
        <x:f>TRIM(B182)</x:f>
        <x:v>CPU002</x:v>
      </x:c>
      <x:c r="F182" s="11" t="str">
        <x:f>VLOOKUP(E182,'danh-muc-linh-kien'!$A$2:$D$9,2,FALSE)</x:f>
        <x:v>CPU AMD Ryzen 5 5600</x:v>
      </x:c>
      <x:c r="G182" s="12" t="n">
        <x:f>VLOOKUP(E182,'danh-muc-linh-kien'!$A$2:$D$9,3,FALSE)</x:f>
        <x:v>2800000</x:v>
      </x:c>
      <x:c r="H182" s="11" t="str">
        <x:f>VLOOKUP(E182,'danh-muc-linh-kien'!$A$2:$D$9,4,FALSE)</x:f>
        <x:v>Khong ap dung</x:v>
      </x:c>
      <x:c r="I182" s="11" t="n">
        <x:f>COUNTIFS('danh-muc-linh-kien'!$A$2:$A$9,E182)</x:f>
        <x:v>1</x:v>
      </x:c>
    </x:row>
    <x:row r="183" ht="25" customHeight="1">
      <x:c r="A183" s="9" t="str">
        <x:v>TRAM061</x:v>
      </x:c>
      <x:c r="B183" s="9" t="str">
        <x:v>RAM002</x:v>
      </x:c>
      <x:c r="C183" s="9" t="n">
        <x:v>16</x:v>
      </x:c>
      <x:c r="D183" s="10" t="n">
        <x:v>46296</x:v>
      </x:c>
      <x:c r="E183" s="11" t="str">
        <x:f>TRIM(B183)</x:f>
        <x:v>RAM002</x:v>
      </x:c>
      <x:c r="F183" s="11" t="str">
        <x:f>VLOOKUP(E183,'danh-muc-linh-kien'!$A$2:$D$9,2,FALSE)</x:f>
        <x:v>RAM DDR4 16 GB</x:v>
      </x:c>
      <x:c r="G183" s="12" t="n">
        <x:f>VLOOKUP(E183,'danh-muc-linh-kien'!$A$2:$D$9,3,FALSE)</x:f>
        <x:v>850000</x:v>
      </x:c>
      <x:c r="H183" s="11" t="str">
        <x:f>VLOOKUP(E183,'danh-muc-linh-kien'!$A$2:$D$9,4,FALSE)</x:f>
        <x:v>Khong ap dung</x:v>
      </x:c>
      <x:c r="I183" s="11" t="n">
        <x:f>COUNTIFS('danh-muc-linh-kien'!$A$2:$A$9,E183)</x:f>
        <x:v>1</x:v>
      </x:c>
    </x:row>
    <x:row r="184" ht="25" customHeight="1">
      <x:c r="A184" s="9" t="str">
        <x:v>TRAM061</x:v>
      </x:c>
      <x:c r="B184" s="9" t="str">
        <x:v>SSD001</x:v>
      </x:c>
      <x:c r="C184" s="9" t="n">
        <x:v>16</x:v>
      </x:c>
      <x:c r="D184" s="10" t="n">
        <x:v>46296</x:v>
      </x:c>
      <x:c r="E184" s="11" t="str">
        <x:f>TRIM(B184)</x:f>
        <x:v>SSD001</x:v>
      </x:c>
      <x:c r="F184" s="11" t="str">
        <x:f>VLOOKUP(E184,'danh-muc-linh-kien'!$A$2:$D$9,2,FALSE)</x:f>
        <x:v>SSD SATA 256 GB</x:v>
      </x:c>
      <x:c r="G184" s="12" t="n">
        <x:f>VLOOKUP(E184,'danh-muc-linh-kien'!$A$2:$D$9,3,FALSE)</x:f>
        <x:v>500000</x:v>
      </x:c>
      <x:c r="H184" s="11" t="str">
        <x:f>VLOOKUP(E184,'danh-muc-linh-kien'!$A$2:$D$9,4,FALSE)</x:f>
        <x:v>SSD</x:v>
      </x:c>
      <x:c r="I184" s="11" t="n">
        <x:f>COUNTIFS('danh-muc-linh-kien'!$A$2:$A$9,E184)</x:f>
        <x:v>1</x:v>
      </x:c>
    </x:row>
    <x:row r="185" ht="25" customHeight="1">
      <x:c r="A185" s="9" t="str">
        <x:v>TRAM062</x:v>
      </x:c>
      <x:c r="B185" s="9" t="str">
        <x:v>CPU001</x:v>
      </x:c>
      <x:c r="C185" s="9" t="n">
        <x:v>8</x:v>
      </x:c>
      <x:c r="D185" s="10" t="n">
        <x:v>46296</x:v>
      </x:c>
      <x:c r="E185" s="11" t="str">
        <x:f>TRIM(B185)</x:f>
        <x:v>CPU001</x:v>
      </x:c>
      <x:c r="F185" s="11" t="str">
        <x:f>VLOOKUP(E185,'danh-muc-linh-kien'!$A$2:$D$9,2,FALSE)</x:f>
        <x:v>CPU Intel Core i5 12400</x:v>
      </x:c>
      <x:c r="G185" s="12" t="n">
        <x:f>VLOOKUP(E185,'danh-muc-linh-kien'!$A$2:$D$9,3,FALSE)</x:f>
        <x:v>3500000</x:v>
      </x:c>
      <x:c r="H185" s="11" t="str">
        <x:f>VLOOKUP(E185,'danh-muc-linh-kien'!$A$2:$D$9,4,FALSE)</x:f>
        <x:v>Khong ap dung</x:v>
      </x:c>
      <x:c r="I185" s="11" t="n">
        <x:f>COUNTIFS('danh-muc-linh-kien'!$A$2:$A$9,E185)</x:f>
        <x:v>1</x:v>
      </x:c>
    </x:row>
    <x:row r="186" ht="25" customHeight="1">
      <x:c r="A186" s="9" t="str">
        <x:v>TRAM062</x:v>
      </x:c>
      <x:c r="B186" s="9" t="str">
        <x:v>RAM001</x:v>
      </x:c>
      <x:c r="C186" s="9" t="n">
        <x:v>8</x:v>
      </x:c>
      <x:c r="D186" s="10" t="n">
        <x:v>46296</x:v>
      </x:c>
      <x:c r="E186" s="11" t="str">
        <x:f>TRIM(B186)</x:f>
        <x:v>RAM001</x:v>
      </x:c>
      <x:c r="F186" s="11" t="str">
        <x:f>VLOOKUP(E186,'danh-muc-linh-kien'!$A$2:$D$9,2,FALSE)</x:f>
        <x:v>RAM DDR4 8 GB</x:v>
      </x:c>
      <x:c r="G186" s="12" t="n">
        <x:f>VLOOKUP(E186,'danh-muc-linh-kien'!$A$2:$D$9,3,FALSE)</x:f>
        <x:v>450000</x:v>
      </x:c>
      <x:c r="H186" s="11" t="str">
        <x:f>VLOOKUP(E186,'danh-muc-linh-kien'!$A$2:$D$9,4,FALSE)</x:f>
        <x:v>Khong ap dung</x:v>
      </x:c>
      <x:c r="I186" s="11" t="n">
        <x:f>COUNTIFS('danh-muc-linh-kien'!$A$2:$A$9,E186)</x:f>
        <x:v>1</x:v>
      </x:c>
    </x:row>
    <x:row r="187" ht="25" customHeight="1">
      <x:c r="A187" s="9" t="str">
        <x:v>TRAM062</x:v>
      </x:c>
      <x:c r="B187" s="9" t="str">
        <x:v>SSD002</x:v>
      </x:c>
      <x:c r="C187" s="9" t="n">
        <x:v>8</x:v>
      </x:c>
      <x:c r="D187" s="10" t="n">
        <x:v>46296</x:v>
      </x:c>
      <x:c r="E187" s="11" t="str">
        <x:f>TRIM(B187)</x:f>
        <x:v>SSD002</x:v>
      </x:c>
      <x:c r="F187" s="11" t="str">
        <x:f>VLOOKUP(E187,'danh-muc-linh-kien'!$A$2:$D$9,2,FALSE)</x:f>
        <x:v>SSD NVMe 512 GB</x:v>
      </x:c>
      <x:c r="G187" s="12" t="n">
        <x:f>VLOOKUP(E187,'danh-muc-linh-kien'!$A$2:$D$9,3,FALSE)</x:f>
        <x:v>900000</x:v>
      </x:c>
      <x:c r="H187" s="11" t="str">
        <x:f>VLOOKUP(E187,'danh-muc-linh-kien'!$A$2:$D$9,4,FALSE)</x:f>
        <x:v>SSD</x:v>
      </x:c>
      <x:c r="I187" s="11" t="n">
        <x:f>COUNTIFS('danh-muc-linh-kien'!$A$2:$A$9,E187)</x:f>
        <x:v>1</x:v>
      </x:c>
    </x:row>
    <x:row r="188" ht="25" customHeight="1">
      <x:c r="A188" s="9" t="str">
        <x:v>TRAM063</x:v>
      </x:c>
      <x:c r="B188" s="9" t="str">
        <x:v>CPU002</x:v>
      </x:c>
      <x:c r="C188" s="9" t="n">
        <x:v>16</x:v>
      </x:c>
      <x:c r="D188" s="10" t="n">
        <x:v>46296</x:v>
      </x:c>
      <x:c r="E188" s="11" t="str">
        <x:f>TRIM(B188)</x:f>
        <x:v>CPU002</x:v>
      </x:c>
      <x:c r="F188" s="11" t="str">
        <x:f>VLOOKUP(E188,'danh-muc-linh-kien'!$A$2:$D$9,2,FALSE)</x:f>
        <x:v>CPU AMD Ryzen 5 5600</x:v>
      </x:c>
      <x:c r="G188" s="12" t="n">
        <x:f>VLOOKUP(E188,'danh-muc-linh-kien'!$A$2:$D$9,3,FALSE)</x:f>
        <x:v>2800000</x:v>
      </x:c>
      <x:c r="H188" s="11" t="str">
        <x:f>VLOOKUP(E188,'danh-muc-linh-kien'!$A$2:$D$9,4,FALSE)</x:f>
        <x:v>Khong ap dung</x:v>
      </x:c>
      <x:c r="I188" s="11" t="n">
        <x:f>COUNTIFS('danh-muc-linh-kien'!$A$2:$A$9,E188)</x:f>
        <x:v>1</x:v>
      </x:c>
    </x:row>
    <x:row r="189" ht="25" customHeight="1">
      <x:c r="A189" s="9" t="str">
        <x:v>TRAM063</x:v>
      </x:c>
      <x:c r="B189" s="9" t="str">
        <x:v>RAM002</x:v>
      </x:c>
      <x:c r="C189" s="9" t="n">
        <x:v>16</x:v>
      </x:c>
      <x:c r="D189" s="10" t="n">
        <x:v>46296</x:v>
      </x:c>
      <x:c r="E189" s="11" t="str">
        <x:f>TRIM(B189)</x:f>
        <x:v>RAM002</x:v>
      </x:c>
      <x:c r="F189" s="11" t="str">
        <x:f>VLOOKUP(E189,'danh-muc-linh-kien'!$A$2:$D$9,2,FALSE)</x:f>
        <x:v>RAM DDR4 16 GB</x:v>
      </x:c>
      <x:c r="G189" s="12" t="n">
        <x:f>VLOOKUP(E189,'danh-muc-linh-kien'!$A$2:$D$9,3,FALSE)</x:f>
        <x:v>850000</x:v>
      </x:c>
      <x:c r="H189" s="11" t="str">
        <x:f>VLOOKUP(E189,'danh-muc-linh-kien'!$A$2:$D$9,4,FALSE)</x:f>
        <x:v>Khong ap dung</x:v>
      </x:c>
      <x:c r="I189" s="11" t="n">
        <x:f>COUNTIFS('danh-muc-linh-kien'!$A$2:$A$9,E189)</x:f>
        <x:v>1</x:v>
      </x:c>
    </x:row>
    <x:row r="190" ht="25" customHeight="1">
      <x:c r="A190" s="9" t="str">
        <x:v>TRAM063</x:v>
      </x:c>
      <x:c r="B190" s="9" t="str">
        <x:v>HDD001</x:v>
      </x:c>
      <x:c r="C190" s="9" t="n">
        <x:v>16</x:v>
      </x:c>
      <x:c r="D190" s="10" t="n">
        <x:v>46296</x:v>
      </x:c>
      <x:c r="E190" s="11" t="str">
        <x:f>TRIM(B190)</x:f>
        <x:v>HDD001</x:v>
      </x:c>
      <x:c r="F190" s="11" t="str">
        <x:f>VLOOKUP(E190,'danh-muc-linh-kien'!$A$2:$D$9,2,FALSE)</x:f>
        <x:v>HDD SATA 1 TB</x:v>
      </x:c>
      <x:c r="G190" s="12" t="n">
        <x:f>VLOOKUP(E190,'danh-muc-linh-kien'!$A$2:$D$9,3,FALSE)</x:f>
        <x:v>1100000</x:v>
      </x:c>
      <x:c r="H190" s="11" t="str">
        <x:f>VLOOKUP(E190,'danh-muc-linh-kien'!$A$2:$D$9,4,FALSE)</x:f>
        <x:v>HDD</x:v>
      </x:c>
      <x:c r="I190" s="11" t="n">
        <x:f>COUNTIFS('danh-muc-linh-kien'!$A$2:$A$9,E190)</x:f>
        <x:v>1</x:v>
      </x:c>
    </x:row>
    <x:row r="191" ht="25" customHeight="1">
      <x:c r="A191" s="9" t="str">
        <x:v>TRAM064</x:v>
      </x:c>
      <x:c r="B191" s="9" t="str">
        <x:v>CPU001</x:v>
      </x:c>
      <x:c r="C191" s="9" t="n">
        <x:v>8</x:v>
      </x:c>
      <x:c r="D191" s="10" t="n">
        <x:v>46296</x:v>
      </x:c>
      <x:c r="E191" s="11" t="str">
        <x:f>TRIM(B191)</x:f>
        <x:v>CPU001</x:v>
      </x:c>
      <x:c r="F191" s="11" t="str">
        <x:f>VLOOKUP(E191,'danh-muc-linh-kien'!$A$2:$D$9,2,FALSE)</x:f>
        <x:v>CPU Intel Core i5 12400</x:v>
      </x:c>
      <x:c r="G191" s="12" t="n">
        <x:f>VLOOKUP(E191,'danh-muc-linh-kien'!$A$2:$D$9,3,FALSE)</x:f>
        <x:v>3500000</x:v>
      </x:c>
      <x:c r="H191" s="11" t="str">
        <x:f>VLOOKUP(E191,'danh-muc-linh-kien'!$A$2:$D$9,4,FALSE)</x:f>
        <x:v>Khong ap dung</x:v>
      </x:c>
      <x:c r="I191" s="11" t="n">
        <x:f>COUNTIFS('danh-muc-linh-kien'!$A$2:$A$9,E191)</x:f>
        <x:v>1</x:v>
      </x:c>
    </x:row>
    <x:row r="192" ht="25" customHeight="1">
      <x:c r="A192" s="9" t="str">
        <x:v>TRAM064</x:v>
      </x:c>
      <x:c r="B192" s="9" t="str">
        <x:v>RAM001</x:v>
      </x:c>
      <x:c r="C192" s="9" t="n">
        <x:v>8</x:v>
      </x:c>
      <x:c r="D192" s="10" t="n">
        <x:v>46296</x:v>
      </x:c>
      <x:c r="E192" s="11" t="str">
        <x:f>TRIM(B192)</x:f>
        <x:v>RAM001</x:v>
      </x:c>
      <x:c r="F192" s="11" t="str">
        <x:f>VLOOKUP(E192,'danh-muc-linh-kien'!$A$2:$D$9,2,FALSE)</x:f>
        <x:v>RAM DDR4 8 GB</x:v>
      </x:c>
      <x:c r="G192" s="12" t="n">
        <x:f>VLOOKUP(E192,'danh-muc-linh-kien'!$A$2:$D$9,3,FALSE)</x:f>
        <x:v>450000</x:v>
      </x:c>
      <x:c r="H192" s="11" t="str">
        <x:f>VLOOKUP(E192,'danh-muc-linh-kien'!$A$2:$D$9,4,FALSE)</x:f>
        <x:v>Khong ap dung</x:v>
      </x:c>
      <x:c r="I192" s="11" t="n">
        <x:f>COUNTIFS('danh-muc-linh-kien'!$A$2:$A$9,E192)</x:f>
        <x:v>1</x:v>
      </x:c>
    </x:row>
    <x:row r="193" ht="25" customHeight="1">
      <x:c r="A193" s="9" t="str">
        <x:v>TRAM064</x:v>
      </x:c>
      <x:c r="B193" s="9" t="str">
        <x:v>HDD002</x:v>
      </x:c>
      <x:c r="C193" s="9" t="n">
        <x:v>8</x:v>
      </x:c>
      <x:c r="D193" s="10" t="n">
        <x:v>46296</x:v>
      </x:c>
      <x:c r="E193" s="11" t="str">
        <x:f>TRIM(B193)</x:f>
        <x:v>HDD002</x:v>
      </x:c>
      <x:c r="F193" s="11" t="str">
        <x:f>VLOOKUP(E193,'danh-muc-linh-kien'!$A$2:$D$9,2,FALSE)</x:f>
        <x:v>HDD SATA 2 TB</x:v>
      </x:c>
      <x:c r="G193" s="12" t="n">
        <x:f>VLOOKUP(E193,'danh-muc-linh-kien'!$A$2:$D$9,3,FALSE)</x:f>
        <x:v>1600000</x:v>
      </x:c>
      <x:c r="H193" s="11" t="str">
        <x:f>VLOOKUP(E193,'danh-muc-linh-kien'!$A$2:$D$9,4,FALSE)</x:f>
        <x:v>HDD</x:v>
      </x:c>
      <x:c r="I193" s="11" t="n">
        <x:f>COUNTIFS('danh-muc-linh-kien'!$A$2:$A$9,E193)</x:f>
        <x:v>1</x:v>
      </x:c>
    </x:row>
    <x:row r="194" ht="25" customHeight="1">
      <x:c r="A194" s="9" t="str">
        <x:v>TRAM065</x:v>
      </x:c>
      <x:c r="B194" s="9" t="str">
        <x:v>CPU002</x:v>
      </x:c>
      <x:c r="C194" s="9" t="n">
        <x:v>16</x:v>
      </x:c>
      <x:c r="D194" s="10" t="n">
        <x:v>46296</x:v>
      </x:c>
      <x:c r="E194" s="11" t="str">
        <x:f>TRIM(B194)</x:f>
        <x:v>CPU002</x:v>
      </x:c>
      <x:c r="F194" s="11" t="str">
        <x:f>VLOOKUP(E194,'danh-muc-linh-kien'!$A$2:$D$9,2,FALSE)</x:f>
        <x:v>CPU AMD Ryzen 5 5600</x:v>
      </x:c>
      <x:c r="G194" s="12" t="n">
        <x:f>VLOOKUP(E194,'danh-muc-linh-kien'!$A$2:$D$9,3,FALSE)</x:f>
        <x:v>2800000</x:v>
      </x:c>
      <x:c r="H194" s="11" t="str">
        <x:f>VLOOKUP(E194,'danh-muc-linh-kien'!$A$2:$D$9,4,FALSE)</x:f>
        <x:v>Khong ap dung</x:v>
      </x:c>
      <x:c r="I194" s="11" t="n">
        <x:f>COUNTIFS('danh-muc-linh-kien'!$A$2:$A$9,E194)</x:f>
        <x:v>1</x:v>
      </x:c>
    </x:row>
    <x:row r="195" ht="25" customHeight="1">
      <x:c r="A195" s="9" t="str">
        <x:v>TRAM065</x:v>
      </x:c>
      <x:c r="B195" s="9" t="str">
        <x:v>RAM002</x:v>
      </x:c>
      <x:c r="C195" s="9" t="n">
        <x:v>16</x:v>
      </x:c>
      <x:c r="D195" s="10" t="n">
        <x:v>46296</x:v>
      </x:c>
      <x:c r="E195" s="11" t="str">
        <x:f>TRIM(B195)</x:f>
        <x:v>RAM002</x:v>
      </x:c>
      <x:c r="F195" s="11" t="str">
        <x:f>VLOOKUP(E195,'danh-muc-linh-kien'!$A$2:$D$9,2,FALSE)</x:f>
        <x:v>RAM DDR4 16 GB</x:v>
      </x:c>
      <x:c r="G195" s="12" t="n">
        <x:f>VLOOKUP(E195,'danh-muc-linh-kien'!$A$2:$D$9,3,FALSE)</x:f>
        <x:v>850000</x:v>
      </x:c>
      <x:c r="H195" s="11" t="str">
        <x:f>VLOOKUP(E195,'danh-muc-linh-kien'!$A$2:$D$9,4,FALSE)</x:f>
        <x:v>Khong ap dung</x:v>
      </x:c>
      <x:c r="I195" s="11" t="n">
        <x:f>COUNTIFS('danh-muc-linh-kien'!$A$2:$A$9,E195)</x:f>
        <x:v>1</x:v>
      </x:c>
    </x:row>
    <x:row r="196" ht="25" customHeight="1">
      <x:c r="A196" s="9" t="str">
        <x:v>TRAM065</x:v>
      </x:c>
      <x:c r="B196" s="9" t="str">
        <x:v>SSD001</x:v>
      </x:c>
      <x:c r="C196" s="9" t="n">
        <x:v>16</x:v>
      </x:c>
      <x:c r="D196" s="10" t="n">
        <x:v>46296</x:v>
      </x:c>
      <x:c r="E196" s="11" t="str">
        <x:f>TRIM(B196)</x:f>
        <x:v>SSD001</x:v>
      </x:c>
      <x:c r="F196" s="11" t="str">
        <x:f>VLOOKUP(E196,'danh-muc-linh-kien'!$A$2:$D$9,2,FALSE)</x:f>
        <x:v>SSD SATA 256 GB</x:v>
      </x:c>
      <x:c r="G196" s="12" t="n">
        <x:f>VLOOKUP(E196,'danh-muc-linh-kien'!$A$2:$D$9,3,FALSE)</x:f>
        <x:v>500000</x:v>
      </x:c>
      <x:c r="H196" s="11" t="str">
        <x:f>VLOOKUP(E196,'danh-muc-linh-kien'!$A$2:$D$9,4,FALSE)</x:f>
        <x:v>SSD</x:v>
      </x:c>
      <x:c r="I196" s="11" t="n">
        <x:f>COUNTIFS('danh-muc-linh-kien'!$A$2:$A$9,E196)</x:f>
        <x:v>1</x:v>
      </x:c>
    </x:row>
    <x:row r="197" ht="25" customHeight="1">
      <x:c r="A197" s="9" t="str">
        <x:v>TRAM066</x:v>
      </x:c>
      <x:c r="B197" s="9" t="str">
        <x:v>CPU001</x:v>
      </x:c>
      <x:c r="C197" s="9" t="n">
        <x:v>8</x:v>
      </x:c>
      <x:c r="D197" s="10" t="n">
        <x:v>46296</x:v>
      </x:c>
      <x:c r="E197" s="11" t="str">
        <x:f>TRIM(B197)</x:f>
        <x:v>CPU001</x:v>
      </x:c>
      <x:c r="F197" s="11" t="str">
        <x:f>VLOOKUP(E197,'danh-muc-linh-kien'!$A$2:$D$9,2,FALSE)</x:f>
        <x:v>CPU Intel Core i5 12400</x:v>
      </x:c>
      <x:c r="G197" s="12" t="n">
        <x:f>VLOOKUP(E197,'danh-muc-linh-kien'!$A$2:$D$9,3,FALSE)</x:f>
        <x:v>3500000</x:v>
      </x:c>
      <x:c r="H197" s="11" t="str">
        <x:f>VLOOKUP(E197,'danh-muc-linh-kien'!$A$2:$D$9,4,FALSE)</x:f>
        <x:v>Khong ap dung</x:v>
      </x:c>
      <x:c r="I197" s="11" t="n">
        <x:f>COUNTIFS('danh-muc-linh-kien'!$A$2:$A$9,E197)</x:f>
        <x:v>1</x:v>
      </x:c>
    </x:row>
    <x:row r="198" ht="25" customHeight="1">
      <x:c r="A198" s="9" t="str">
        <x:v>TRAM066</x:v>
      </x:c>
      <x:c r="B198" s="9" t="str">
        <x:v>RAM001</x:v>
      </x:c>
      <x:c r="C198" s="9" t="n">
        <x:v>8</x:v>
      </x:c>
      <x:c r="D198" s="10" t="n">
        <x:v>46296</x:v>
      </x:c>
      <x:c r="E198" s="11" t="str">
        <x:f>TRIM(B198)</x:f>
        <x:v>RAM001</x:v>
      </x:c>
      <x:c r="F198" s="11" t="str">
        <x:f>VLOOKUP(E198,'danh-muc-linh-kien'!$A$2:$D$9,2,FALSE)</x:f>
        <x:v>RAM DDR4 8 GB</x:v>
      </x:c>
      <x:c r="G198" s="12" t="n">
        <x:f>VLOOKUP(E198,'danh-muc-linh-kien'!$A$2:$D$9,3,FALSE)</x:f>
        <x:v>450000</x:v>
      </x:c>
      <x:c r="H198" s="11" t="str">
        <x:f>VLOOKUP(E198,'danh-muc-linh-kien'!$A$2:$D$9,4,FALSE)</x:f>
        <x:v>Khong ap dung</x:v>
      </x:c>
      <x:c r="I198" s="11" t="n">
        <x:f>COUNTIFS('danh-muc-linh-kien'!$A$2:$A$9,E198)</x:f>
        <x:v>1</x:v>
      </x:c>
    </x:row>
    <x:row r="199" ht="25" customHeight="1">
      <x:c r="A199" s="9" t="str">
        <x:v>TRAM066</x:v>
      </x:c>
      <x:c r="B199" s="9" t="str">
        <x:v>SSD002</x:v>
      </x:c>
      <x:c r="C199" s="9" t="n">
        <x:v>8</x:v>
      </x:c>
      <x:c r="D199" s="10" t="n">
        <x:v>46296</x:v>
      </x:c>
      <x:c r="E199" s="11" t="str">
        <x:f>TRIM(B199)</x:f>
        <x:v>SSD002</x:v>
      </x:c>
      <x:c r="F199" s="11" t="str">
        <x:f>VLOOKUP(E199,'danh-muc-linh-kien'!$A$2:$D$9,2,FALSE)</x:f>
        <x:v>SSD NVMe 512 GB</x:v>
      </x:c>
      <x:c r="G199" s="12" t="n">
        <x:f>VLOOKUP(E199,'danh-muc-linh-kien'!$A$2:$D$9,3,FALSE)</x:f>
        <x:v>900000</x:v>
      </x:c>
      <x:c r="H199" s="11" t="str">
        <x:f>VLOOKUP(E199,'danh-muc-linh-kien'!$A$2:$D$9,4,FALSE)</x:f>
        <x:v>SSD</x:v>
      </x:c>
      <x:c r="I199" s="11" t="n">
        <x:f>COUNTIFS('danh-muc-linh-kien'!$A$2:$A$9,E199)</x:f>
        <x:v>1</x:v>
      </x:c>
    </x:row>
    <x:row r="200" ht="25" customHeight="1">
      <x:c r="A200" s="9" t="str">
        <x:v>TRAM067</x:v>
      </x:c>
      <x:c r="B200" s="9" t="str">
        <x:v>CPU002</x:v>
      </x:c>
      <x:c r="C200" s="9" t="n">
        <x:v>16</x:v>
      </x:c>
      <x:c r="D200" s="10" t="n">
        <x:v>46296</x:v>
      </x:c>
      <x:c r="E200" s="11" t="str">
        <x:f>TRIM(B200)</x:f>
        <x:v>CPU002</x:v>
      </x:c>
      <x:c r="F200" s="11" t="str">
        <x:f>VLOOKUP(E200,'danh-muc-linh-kien'!$A$2:$D$9,2,FALSE)</x:f>
        <x:v>CPU AMD Ryzen 5 5600</x:v>
      </x:c>
      <x:c r="G200" s="12" t="n">
        <x:f>VLOOKUP(E200,'danh-muc-linh-kien'!$A$2:$D$9,3,FALSE)</x:f>
        <x:v>2800000</x:v>
      </x:c>
      <x:c r="H200" s="11" t="str">
        <x:f>VLOOKUP(E200,'danh-muc-linh-kien'!$A$2:$D$9,4,FALSE)</x:f>
        <x:v>Khong ap dung</x:v>
      </x:c>
      <x:c r="I200" s="11" t="n">
        <x:f>COUNTIFS('danh-muc-linh-kien'!$A$2:$A$9,E200)</x:f>
        <x:v>1</x:v>
      </x:c>
    </x:row>
    <x:row r="201" ht="25" customHeight="1">
      <x:c r="A201" s="9" t="str">
        <x:v>TRAM067</x:v>
      </x:c>
      <x:c r="B201" s="9" t="str">
        <x:v>RAM002</x:v>
      </x:c>
      <x:c r="C201" s="9" t="n">
        <x:v>16</x:v>
      </x:c>
      <x:c r="D201" s="10" t="n">
        <x:v>46296</x:v>
      </x:c>
      <x:c r="E201" s="11" t="str">
        <x:f>TRIM(B201)</x:f>
        <x:v>RAM002</x:v>
      </x:c>
      <x:c r="F201" s="11" t="str">
        <x:f>VLOOKUP(E201,'danh-muc-linh-kien'!$A$2:$D$9,2,FALSE)</x:f>
        <x:v>RAM DDR4 16 GB</x:v>
      </x:c>
      <x:c r="G201" s="12" t="n">
        <x:f>VLOOKUP(E201,'danh-muc-linh-kien'!$A$2:$D$9,3,FALSE)</x:f>
        <x:v>850000</x:v>
      </x:c>
      <x:c r="H201" s="11" t="str">
        <x:f>VLOOKUP(E201,'danh-muc-linh-kien'!$A$2:$D$9,4,FALSE)</x:f>
        <x:v>Khong ap dung</x:v>
      </x:c>
      <x:c r="I201" s="11" t="n">
        <x:f>COUNTIFS('danh-muc-linh-kien'!$A$2:$A$9,E201)</x:f>
        <x:v>1</x:v>
      </x:c>
    </x:row>
    <x:row r="202" ht="25" customHeight="1">
      <x:c r="A202" s="9" t="str">
        <x:v>TRAM067</x:v>
      </x:c>
      <x:c r="B202" s="9" t="str">
        <x:v>HDD001</x:v>
      </x:c>
      <x:c r="C202" s="9" t="n">
        <x:v>16</x:v>
      </x:c>
      <x:c r="D202" s="10" t="n">
        <x:v>46296</x:v>
      </x:c>
      <x:c r="E202" s="11" t="str">
        <x:f>TRIM(B202)</x:f>
        <x:v>HDD001</x:v>
      </x:c>
      <x:c r="F202" s="11" t="str">
        <x:f>VLOOKUP(E202,'danh-muc-linh-kien'!$A$2:$D$9,2,FALSE)</x:f>
        <x:v>HDD SATA 1 TB</x:v>
      </x:c>
      <x:c r="G202" s="12" t="n">
        <x:f>VLOOKUP(E202,'danh-muc-linh-kien'!$A$2:$D$9,3,FALSE)</x:f>
        <x:v>1100000</x:v>
      </x:c>
      <x:c r="H202" s="11" t="str">
        <x:f>VLOOKUP(E202,'danh-muc-linh-kien'!$A$2:$D$9,4,FALSE)</x:f>
        <x:v>HDD</x:v>
      </x:c>
      <x:c r="I202" s="11" t="n">
        <x:f>COUNTIFS('danh-muc-linh-kien'!$A$2:$A$9,E202)</x:f>
        <x:v>1</x:v>
      </x:c>
    </x:row>
    <x:row r="203" ht="25" customHeight="1">
      <x:c r="A203" s="9" t="str">
        <x:v>TRAM068</x:v>
      </x:c>
      <x:c r="B203" s="9" t="str">
        <x:v>CPU001</x:v>
      </x:c>
      <x:c r="C203" s="9" t="n">
        <x:v>8</x:v>
      </x:c>
      <x:c r="D203" s="10" t="n">
        <x:v>46296</x:v>
      </x:c>
      <x:c r="E203" s="11" t="str">
        <x:f>TRIM(B203)</x:f>
        <x:v>CPU001</x:v>
      </x:c>
      <x:c r="F203" s="11" t="str">
        <x:f>VLOOKUP(E203,'danh-muc-linh-kien'!$A$2:$D$9,2,FALSE)</x:f>
        <x:v>CPU Intel Core i5 12400</x:v>
      </x:c>
      <x:c r="G203" s="12" t="n">
        <x:f>VLOOKUP(E203,'danh-muc-linh-kien'!$A$2:$D$9,3,FALSE)</x:f>
        <x:v>3500000</x:v>
      </x:c>
      <x:c r="H203" s="11" t="str">
        <x:f>VLOOKUP(E203,'danh-muc-linh-kien'!$A$2:$D$9,4,FALSE)</x:f>
        <x:v>Khong ap dung</x:v>
      </x:c>
      <x:c r="I203" s="11" t="n">
        <x:f>COUNTIFS('danh-muc-linh-kien'!$A$2:$A$9,E203)</x:f>
        <x:v>1</x:v>
      </x:c>
    </x:row>
    <x:row r="204" ht="25" customHeight="1">
      <x:c r="A204" s="9" t="str">
        <x:v>TRAM068</x:v>
      </x:c>
      <x:c r="B204" s="9" t="str">
        <x:v>RAM001</x:v>
      </x:c>
      <x:c r="C204" s="9" t="n">
        <x:v>8</x:v>
      </x:c>
      <x:c r="D204" s="10" t="n">
        <x:v>46296</x:v>
      </x:c>
      <x:c r="E204" s="11" t="str">
        <x:f>TRIM(B204)</x:f>
        <x:v>RAM001</x:v>
      </x:c>
      <x:c r="F204" s="11" t="str">
        <x:f>VLOOKUP(E204,'danh-muc-linh-kien'!$A$2:$D$9,2,FALSE)</x:f>
        <x:v>RAM DDR4 8 GB</x:v>
      </x:c>
      <x:c r="G204" s="12" t="n">
        <x:f>VLOOKUP(E204,'danh-muc-linh-kien'!$A$2:$D$9,3,FALSE)</x:f>
        <x:v>450000</x:v>
      </x:c>
      <x:c r="H204" s="11" t="str">
        <x:f>VLOOKUP(E204,'danh-muc-linh-kien'!$A$2:$D$9,4,FALSE)</x:f>
        <x:v>Khong ap dung</x:v>
      </x:c>
      <x:c r="I204" s="11" t="n">
        <x:f>COUNTIFS('danh-muc-linh-kien'!$A$2:$A$9,E204)</x:f>
        <x:v>1</x:v>
      </x:c>
    </x:row>
    <x:row r="205" ht="25" customHeight="1">
      <x:c r="A205" s="9" t="str">
        <x:v>TRAM068</x:v>
      </x:c>
      <x:c r="B205" s="9" t="str">
        <x:v>HDD002</x:v>
      </x:c>
      <x:c r="C205" s="9" t="n">
        <x:v>8</x:v>
      </x:c>
      <x:c r="D205" s="10" t="n">
        <x:v>46296</x:v>
      </x:c>
      <x:c r="E205" s="11" t="str">
        <x:f>TRIM(B205)</x:f>
        <x:v>HDD002</x:v>
      </x:c>
      <x:c r="F205" s="11" t="str">
        <x:f>VLOOKUP(E205,'danh-muc-linh-kien'!$A$2:$D$9,2,FALSE)</x:f>
        <x:v>HDD SATA 2 TB</x:v>
      </x:c>
      <x:c r="G205" s="12" t="n">
        <x:f>VLOOKUP(E205,'danh-muc-linh-kien'!$A$2:$D$9,3,FALSE)</x:f>
        <x:v>1600000</x:v>
      </x:c>
      <x:c r="H205" s="11" t="str">
        <x:f>VLOOKUP(E205,'danh-muc-linh-kien'!$A$2:$D$9,4,FALSE)</x:f>
        <x:v>HDD</x:v>
      </x:c>
      <x:c r="I205" s="11" t="n">
        <x:f>COUNTIFS('danh-muc-linh-kien'!$A$2:$A$9,E205)</x:f>
        <x:v>1</x:v>
      </x:c>
    </x:row>
    <x:row r="206" ht="25" customHeight="1">
      <x:c r="A206" s="9" t="str">
        <x:v>TRAM069</x:v>
      </x:c>
      <x:c r="B206" s="9" t="str">
        <x:v>CPU002</x:v>
      </x:c>
      <x:c r="C206" s="9" t="n">
        <x:v>16</x:v>
      </x:c>
      <x:c r="D206" s="10" t="n">
        <x:v>46296</x:v>
      </x:c>
      <x:c r="E206" s="11" t="str">
        <x:f>TRIM(B206)</x:f>
        <x:v>CPU002</x:v>
      </x:c>
      <x:c r="F206" s="11" t="str">
        <x:f>VLOOKUP(E206,'danh-muc-linh-kien'!$A$2:$D$9,2,FALSE)</x:f>
        <x:v>CPU AMD Ryzen 5 5600</x:v>
      </x:c>
      <x:c r="G206" s="12" t="n">
        <x:f>VLOOKUP(E206,'danh-muc-linh-kien'!$A$2:$D$9,3,FALSE)</x:f>
        <x:v>2800000</x:v>
      </x:c>
      <x:c r="H206" s="11" t="str">
        <x:f>VLOOKUP(E206,'danh-muc-linh-kien'!$A$2:$D$9,4,FALSE)</x:f>
        <x:v>Khong ap dung</x:v>
      </x:c>
      <x:c r="I206" s="11" t="n">
        <x:f>COUNTIFS('danh-muc-linh-kien'!$A$2:$A$9,E206)</x:f>
        <x:v>1</x:v>
      </x:c>
    </x:row>
    <x:row r="207" ht="25" customHeight="1">
      <x:c r="A207" s="9" t="str">
        <x:v>TRAM069</x:v>
      </x:c>
      <x:c r="B207" s="9" t="str">
        <x:v>RAM002</x:v>
      </x:c>
      <x:c r="C207" s="9" t="n">
        <x:v>16</x:v>
      </x:c>
      <x:c r="D207" s="10" t="n">
        <x:v>46296</x:v>
      </x:c>
      <x:c r="E207" s="11" t="str">
        <x:f>TRIM(B207)</x:f>
        <x:v>RAM002</x:v>
      </x:c>
      <x:c r="F207" s="11" t="str">
        <x:f>VLOOKUP(E207,'danh-muc-linh-kien'!$A$2:$D$9,2,FALSE)</x:f>
        <x:v>RAM DDR4 16 GB</x:v>
      </x:c>
      <x:c r="G207" s="12" t="n">
        <x:f>VLOOKUP(E207,'danh-muc-linh-kien'!$A$2:$D$9,3,FALSE)</x:f>
        <x:v>850000</x:v>
      </x:c>
      <x:c r="H207" s="11" t="str">
        <x:f>VLOOKUP(E207,'danh-muc-linh-kien'!$A$2:$D$9,4,FALSE)</x:f>
        <x:v>Khong ap dung</x:v>
      </x:c>
      <x:c r="I207" s="11" t="n">
        <x:f>COUNTIFS('danh-muc-linh-kien'!$A$2:$A$9,E207)</x:f>
        <x:v>1</x:v>
      </x:c>
    </x:row>
    <x:row r="208" ht="25" customHeight="1">
      <x:c r="A208" s="9" t="str">
        <x:v>TRAM069</x:v>
      </x:c>
      <x:c r="B208" s="9" t="str">
        <x:v>SSD001</x:v>
      </x:c>
      <x:c r="C208" s="9" t="n">
        <x:v>16</x:v>
      </x:c>
      <x:c r="D208" s="10" t="n">
        <x:v>46296</x:v>
      </x:c>
      <x:c r="E208" s="11" t="str">
        <x:f>TRIM(B208)</x:f>
        <x:v>SSD001</x:v>
      </x:c>
      <x:c r="F208" s="11" t="str">
        <x:f>VLOOKUP(E208,'danh-muc-linh-kien'!$A$2:$D$9,2,FALSE)</x:f>
        <x:v>SSD SATA 256 GB</x:v>
      </x:c>
      <x:c r="G208" s="12" t="n">
        <x:f>VLOOKUP(E208,'danh-muc-linh-kien'!$A$2:$D$9,3,FALSE)</x:f>
        <x:v>500000</x:v>
      </x:c>
      <x:c r="H208" s="11" t="str">
        <x:f>VLOOKUP(E208,'danh-muc-linh-kien'!$A$2:$D$9,4,FALSE)</x:f>
        <x:v>SSD</x:v>
      </x:c>
      <x:c r="I208" s="11" t="n">
        <x:f>COUNTIFS('danh-muc-linh-kien'!$A$2:$A$9,E208)</x:f>
        <x:v>1</x:v>
      </x:c>
    </x:row>
    <x:row r="209" ht="25" customHeight="1">
      <x:c r="A209" s="9" t="str">
        <x:v>TRAM070</x:v>
      </x:c>
      <x:c r="B209" s="9" t="str">
        <x:v>  CPU001  </x:v>
      </x:c>
      <x:c r="C209" s="9" t="n">
        <x:v>8</x:v>
      </x:c>
      <x:c r="D209" s="10" t="n">
        <x:v>46296</x:v>
      </x:c>
      <x:c r="E209" s="11" t="str">
        <x:f>TRIM(B209)</x:f>
        <x:v>CPU001</x:v>
      </x:c>
      <x:c r="F209" s="11" t="str">
        <x:f>VLOOKUP(E209,'danh-muc-linh-kien'!$A$2:$D$9,2,FALSE)</x:f>
        <x:v>CPU Intel Core i5 12400</x:v>
      </x:c>
      <x:c r="G209" s="12" t="n">
        <x:f>VLOOKUP(E209,'danh-muc-linh-kien'!$A$2:$D$9,3,FALSE)</x:f>
        <x:v>3500000</x:v>
      </x:c>
      <x:c r="H209" s="11" t="str">
        <x:f>VLOOKUP(E209,'danh-muc-linh-kien'!$A$2:$D$9,4,FALSE)</x:f>
        <x:v>Khong ap dung</x:v>
      </x:c>
      <x:c r="I209" s="11" t="n">
        <x:f>COUNTIFS('danh-muc-linh-kien'!$A$2:$A$9,E209)</x:f>
        <x:v>1</x:v>
      </x:c>
    </x:row>
    <x:row r="210" ht="25" customHeight="1">
      <x:c r="A210" s="9" t="str">
        <x:v>TRAM070</x:v>
      </x:c>
      <x:c r="B210" s="9" t="str">
        <x:v>  RAM001  </x:v>
      </x:c>
      <x:c r="C210" s="9" t="n">
        <x:v>8</x:v>
      </x:c>
      <x:c r="D210" s="10" t="n">
        <x:v>46296</x:v>
      </x:c>
      <x:c r="E210" s="11" t="str">
        <x:f>TRIM(B210)</x:f>
        <x:v>RAM001</x:v>
      </x:c>
      <x:c r="F210" s="11" t="str">
        <x:f>VLOOKUP(E210,'danh-muc-linh-kien'!$A$2:$D$9,2,FALSE)</x:f>
        <x:v>RAM DDR4 8 GB</x:v>
      </x:c>
      <x:c r="G210" s="12" t="n">
        <x:f>VLOOKUP(E210,'danh-muc-linh-kien'!$A$2:$D$9,3,FALSE)</x:f>
        <x:v>450000</x:v>
      </x:c>
      <x:c r="H210" s="11" t="str">
        <x:f>VLOOKUP(E210,'danh-muc-linh-kien'!$A$2:$D$9,4,FALSE)</x:f>
        <x:v>Khong ap dung</x:v>
      </x:c>
      <x:c r="I210" s="11" t="n">
        <x:f>COUNTIFS('danh-muc-linh-kien'!$A$2:$A$9,E210)</x:f>
        <x:v>1</x:v>
      </x:c>
    </x:row>
    <x:row r="211" ht="25" customHeight="1">
      <x:c r="A211" s="9" t="str">
        <x:v>TRAM070</x:v>
      </x:c>
      <x:c r="B211" s="9" t="str">
        <x:v>  SSD002  </x:v>
      </x:c>
      <x:c r="C211" s="9" t="n">
        <x:v>8</x:v>
      </x:c>
      <x:c r="D211" s="10" t="n">
        <x:v>46296</x:v>
      </x:c>
      <x:c r="E211" s="11" t="str">
        <x:f>TRIM(B211)</x:f>
        <x:v>SSD002</x:v>
      </x:c>
      <x:c r="F211" s="11" t="str">
        <x:f>VLOOKUP(E211,'danh-muc-linh-kien'!$A$2:$D$9,2,FALSE)</x:f>
        <x:v>SSD NVMe 512 GB</x:v>
      </x:c>
      <x:c r="G211" s="12" t="n">
        <x:f>VLOOKUP(E211,'danh-muc-linh-kien'!$A$2:$D$9,3,FALSE)</x:f>
        <x:v>900000</x:v>
      </x:c>
      <x:c r="H211" s="11" t="str">
        <x:f>VLOOKUP(E211,'danh-muc-linh-kien'!$A$2:$D$9,4,FALSE)</x:f>
        <x:v>SSD</x:v>
      </x:c>
      <x:c r="I211" s="11" t="n">
        <x:f>COUNTIFS('danh-muc-linh-kien'!$A$2:$A$9,E211)</x:f>
        <x:v>1</x:v>
      </x:c>
    </x:row>
    <x:row r="212" ht="25" customHeight="1">
      <x:c r="A212" s="9" t="str">
        <x:v>TRAM071</x:v>
      </x:c>
      <x:c r="B212" s="9" t="str">
        <x:v>CPU002</x:v>
      </x:c>
      <x:c r="C212" s="9" t="n">
        <x:v>16</x:v>
      </x:c>
      <x:c r="D212" s="10" t="n">
        <x:v>46296</x:v>
      </x:c>
      <x:c r="E212" s="11" t="str">
        <x:f>TRIM(B212)</x:f>
        <x:v>CPU002</x:v>
      </x:c>
      <x:c r="F212" s="11" t="str">
        <x:f>VLOOKUP(E212,'danh-muc-linh-kien'!$A$2:$D$9,2,FALSE)</x:f>
        <x:v>CPU AMD Ryzen 5 5600</x:v>
      </x:c>
      <x:c r="G212" s="12" t="n">
        <x:f>VLOOKUP(E212,'danh-muc-linh-kien'!$A$2:$D$9,3,FALSE)</x:f>
        <x:v>2800000</x:v>
      </x:c>
      <x:c r="H212" s="11" t="str">
        <x:f>VLOOKUP(E212,'danh-muc-linh-kien'!$A$2:$D$9,4,FALSE)</x:f>
        <x:v>Khong ap dung</x:v>
      </x:c>
      <x:c r="I212" s="11" t="n">
        <x:f>COUNTIFS('danh-muc-linh-kien'!$A$2:$A$9,E212)</x:f>
        <x:v>1</x:v>
      </x:c>
    </x:row>
    <x:row r="213" ht="25" customHeight="1">
      <x:c r="A213" s="9" t="str">
        <x:v>TRAM071</x:v>
      </x:c>
      <x:c r="B213" s="9" t="str">
        <x:v>RAM002</x:v>
      </x:c>
      <x:c r="C213" s="9" t="n">
        <x:v>16</x:v>
      </x:c>
      <x:c r="D213" s="10" t="n">
        <x:v>46296</x:v>
      </x:c>
      <x:c r="E213" s="11" t="str">
        <x:f>TRIM(B213)</x:f>
        <x:v>RAM002</x:v>
      </x:c>
      <x:c r="F213" s="11" t="str">
        <x:f>VLOOKUP(E213,'danh-muc-linh-kien'!$A$2:$D$9,2,FALSE)</x:f>
        <x:v>RAM DDR4 16 GB</x:v>
      </x:c>
      <x:c r="G213" s="12" t="n">
        <x:f>VLOOKUP(E213,'danh-muc-linh-kien'!$A$2:$D$9,3,FALSE)</x:f>
        <x:v>850000</x:v>
      </x:c>
      <x:c r="H213" s="11" t="str">
        <x:f>VLOOKUP(E213,'danh-muc-linh-kien'!$A$2:$D$9,4,FALSE)</x:f>
        <x:v>Khong ap dung</x:v>
      </x:c>
      <x:c r="I213" s="11" t="n">
        <x:f>COUNTIFS('danh-muc-linh-kien'!$A$2:$A$9,E213)</x:f>
        <x:v>1</x:v>
      </x:c>
    </x:row>
    <x:row r="214" ht="25" customHeight="1">
      <x:c r="A214" s="9" t="str">
        <x:v>TRAM071</x:v>
      </x:c>
      <x:c r="B214" s="9" t="str">
        <x:v>HDD001</x:v>
      </x:c>
      <x:c r="C214" s="9" t="n">
        <x:v>16</x:v>
      </x:c>
      <x:c r="D214" s="10" t="n">
        <x:v>46296</x:v>
      </x:c>
      <x:c r="E214" s="11" t="str">
        <x:f>TRIM(B214)</x:f>
        <x:v>HDD001</x:v>
      </x:c>
      <x:c r="F214" s="11" t="str">
        <x:f>VLOOKUP(E214,'danh-muc-linh-kien'!$A$2:$D$9,2,FALSE)</x:f>
        <x:v>HDD SATA 1 TB</x:v>
      </x:c>
      <x:c r="G214" s="12" t="n">
        <x:f>VLOOKUP(E214,'danh-muc-linh-kien'!$A$2:$D$9,3,FALSE)</x:f>
        <x:v>1100000</x:v>
      </x:c>
      <x:c r="H214" s="11" t="str">
        <x:f>VLOOKUP(E214,'danh-muc-linh-kien'!$A$2:$D$9,4,FALSE)</x:f>
        <x:v>HDD</x:v>
      </x:c>
      <x:c r="I214" s="11" t="n">
        <x:f>COUNTIFS('danh-muc-linh-kien'!$A$2:$A$9,E214)</x:f>
        <x:v>1</x:v>
      </x:c>
    </x:row>
    <x:row r="215" ht="25" customHeight="1">
      <x:c r="A215" s="9" t="str">
        <x:v>TRAM072</x:v>
      </x:c>
      <x:c r="B215" s="9" t="str">
        <x:v>CPU001</x:v>
      </x:c>
      <x:c r="C215" s="9" t="n">
        <x:v>8</x:v>
      </x:c>
      <x:c r="D215" s="10" t="n">
        <x:v>46296</x:v>
      </x:c>
      <x:c r="E215" s="11" t="str">
        <x:f>TRIM(B215)</x:f>
        <x:v>CPU001</x:v>
      </x:c>
      <x:c r="F215" s="11" t="str">
        <x:f>VLOOKUP(E215,'danh-muc-linh-kien'!$A$2:$D$9,2,FALSE)</x:f>
        <x:v>CPU Intel Core i5 12400</x:v>
      </x:c>
      <x:c r="G215" s="12" t="n">
        <x:f>VLOOKUP(E215,'danh-muc-linh-kien'!$A$2:$D$9,3,FALSE)</x:f>
        <x:v>3500000</x:v>
      </x:c>
      <x:c r="H215" s="11" t="str">
        <x:f>VLOOKUP(E215,'danh-muc-linh-kien'!$A$2:$D$9,4,FALSE)</x:f>
        <x:v>Khong ap dung</x:v>
      </x:c>
      <x:c r="I215" s="11" t="n">
        <x:f>COUNTIFS('danh-muc-linh-kien'!$A$2:$A$9,E215)</x:f>
        <x:v>1</x:v>
      </x:c>
    </x:row>
    <x:row r="216" ht="25" customHeight="1">
      <x:c r="A216" s="9" t="str">
        <x:v>TRAM072</x:v>
      </x:c>
      <x:c r="B216" s="9" t="str">
        <x:v>RAM001</x:v>
      </x:c>
      <x:c r="C216" s="9" t="n">
        <x:v>8</x:v>
      </x:c>
      <x:c r="D216" s="10" t="n">
        <x:v>46296</x:v>
      </x:c>
      <x:c r="E216" s="11" t="str">
        <x:f>TRIM(B216)</x:f>
        <x:v>RAM001</x:v>
      </x:c>
      <x:c r="F216" s="11" t="str">
        <x:f>VLOOKUP(E216,'danh-muc-linh-kien'!$A$2:$D$9,2,FALSE)</x:f>
        <x:v>RAM DDR4 8 GB</x:v>
      </x:c>
      <x:c r="G216" s="12" t="n">
        <x:f>VLOOKUP(E216,'danh-muc-linh-kien'!$A$2:$D$9,3,FALSE)</x:f>
        <x:v>450000</x:v>
      </x:c>
      <x:c r="H216" s="11" t="str">
        <x:f>VLOOKUP(E216,'danh-muc-linh-kien'!$A$2:$D$9,4,FALSE)</x:f>
        <x:v>Khong ap dung</x:v>
      </x:c>
      <x:c r="I216" s="11" t="n">
        <x:f>COUNTIFS('danh-muc-linh-kien'!$A$2:$A$9,E216)</x:f>
        <x:v>1</x:v>
      </x:c>
    </x:row>
    <x:row r="217" ht="25" customHeight="1">
      <x:c r="A217" s="9" t="str">
        <x:v>TRAM072</x:v>
      </x:c>
      <x:c r="B217" s="9" t="str">
        <x:v>HDD002</x:v>
      </x:c>
      <x:c r="C217" s="9" t="n">
        <x:v>8</x:v>
      </x:c>
      <x:c r="D217" s="10" t="n">
        <x:v>46296</x:v>
      </x:c>
      <x:c r="E217" s="11" t="str">
        <x:f>TRIM(B217)</x:f>
        <x:v>HDD002</x:v>
      </x:c>
      <x:c r="F217" s="11" t="str">
        <x:f>VLOOKUP(E217,'danh-muc-linh-kien'!$A$2:$D$9,2,FALSE)</x:f>
        <x:v>HDD SATA 2 TB</x:v>
      </x:c>
      <x:c r="G217" s="12" t="n">
        <x:f>VLOOKUP(E217,'danh-muc-linh-kien'!$A$2:$D$9,3,FALSE)</x:f>
        <x:v>1600000</x:v>
      </x:c>
      <x:c r="H217" s="11" t="str">
        <x:f>VLOOKUP(E217,'danh-muc-linh-kien'!$A$2:$D$9,4,FALSE)</x:f>
        <x:v>HDD</x:v>
      </x:c>
      <x:c r="I217" s="11" t="n">
        <x:f>COUNTIFS('danh-muc-linh-kien'!$A$2:$A$9,E217)</x:f>
        <x:v>1</x:v>
      </x:c>
    </x:row>
    <x:row r="218" ht="25" customHeight="1">
      <x:c r="A218" s="9" t="str">
        <x:v>TRAM073</x:v>
      </x:c>
      <x:c r="B218" s="9" t="str">
        <x:v>CPU002</x:v>
      </x:c>
      <x:c r="C218" s="9" t="n">
        <x:v>16</x:v>
      </x:c>
      <x:c r="D218" s="10" t="n">
        <x:v>46296</x:v>
      </x:c>
      <x:c r="E218" s="11" t="str">
        <x:f>TRIM(B218)</x:f>
        <x:v>CPU002</x:v>
      </x:c>
      <x:c r="F218" s="11" t="str">
        <x:f>VLOOKUP(E218,'danh-muc-linh-kien'!$A$2:$D$9,2,FALSE)</x:f>
        <x:v>CPU AMD Ryzen 5 5600</x:v>
      </x:c>
      <x:c r="G218" s="12" t="n">
        <x:f>VLOOKUP(E218,'danh-muc-linh-kien'!$A$2:$D$9,3,FALSE)</x:f>
        <x:v>2800000</x:v>
      </x:c>
      <x:c r="H218" s="11" t="str">
        <x:f>VLOOKUP(E218,'danh-muc-linh-kien'!$A$2:$D$9,4,FALSE)</x:f>
        <x:v>Khong ap dung</x:v>
      </x:c>
      <x:c r="I218" s="11" t="n">
        <x:f>COUNTIFS('danh-muc-linh-kien'!$A$2:$A$9,E218)</x:f>
        <x:v>1</x:v>
      </x:c>
    </x:row>
    <x:row r="219" ht="25" customHeight="1">
      <x:c r="A219" s="9" t="str">
        <x:v>TRAM073</x:v>
      </x:c>
      <x:c r="B219" s="9" t="str">
        <x:v>RAM002</x:v>
      </x:c>
      <x:c r="C219" s="9" t="n">
        <x:v>16</x:v>
      </x:c>
      <x:c r="D219" s="10" t="n">
        <x:v>46296</x:v>
      </x:c>
      <x:c r="E219" s="11" t="str">
        <x:f>TRIM(B219)</x:f>
        <x:v>RAM002</x:v>
      </x:c>
      <x:c r="F219" s="11" t="str">
        <x:f>VLOOKUP(E219,'danh-muc-linh-kien'!$A$2:$D$9,2,FALSE)</x:f>
        <x:v>RAM DDR4 16 GB</x:v>
      </x:c>
      <x:c r="G219" s="12" t="n">
        <x:f>VLOOKUP(E219,'danh-muc-linh-kien'!$A$2:$D$9,3,FALSE)</x:f>
        <x:v>850000</x:v>
      </x:c>
      <x:c r="H219" s="11" t="str">
        <x:f>VLOOKUP(E219,'danh-muc-linh-kien'!$A$2:$D$9,4,FALSE)</x:f>
        <x:v>Khong ap dung</x:v>
      </x:c>
      <x:c r="I219" s="11" t="n">
        <x:f>COUNTIFS('danh-muc-linh-kien'!$A$2:$A$9,E219)</x:f>
        <x:v>1</x:v>
      </x:c>
    </x:row>
    <x:row r="220" ht="25" customHeight="1">
      <x:c r="A220" s="9" t="str">
        <x:v>TRAM073</x:v>
      </x:c>
      <x:c r="B220" s="9" t="str">
        <x:v>SSD001</x:v>
      </x:c>
      <x:c r="C220" s="9" t="n">
        <x:v>16</x:v>
      </x:c>
      <x:c r="D220" s="10" t="n">
        <x:v>46296</x:v>
      </x:c>
      <x:c r="E220" s="11" t="str">
        <x:f>TRIM(B220)</x:f>
        <x:v>SSD001</x:v>
      </x:c>
      <x:c r="F220" s="11" t="str">
        <x:f>VLOOKUP(E220,'danh-muc-linh-kien'!$A$2:$D$9,2,FALSE)</x:f>
        <x:v>SSD SATA 256 GB</x:v>
      </x:c>
      <x:c r="G220" s="12" t="n">
        <x:f>VLOOKUP(E220,'danh-muc-linh-kien'!$A$2:$D$9,3,FALSE)</x:f>
        <x:v>500000</x:v>
      </x:c>
      <x:c r="H220" s="11" t="str">
        <x:f>VLOOKUP(E220,'danh-muc-linh-kien'!$A$2:$D$9,4,FALSE)</x:f>
        <x:v>SSD</x:v>
      </x:c>
      <x:c r="I220" s="11" t="n">
        <x:f>COUNTIFS('danh-muc-linh-kien'!$A$2:$A$9,E220)</x:f>
        <x:v>1</x:v>
      </x:c>
    </x:row>
    <x:row r="221" ht="25" customHeight="1">
      <x:c r="A221" s="9" t="str">
        <x:v>TRAM074</x:v>
      </x:c>
      <x:c r="B221" s="9" t="str">
        <x:v>CPU001</x:v>
      </x:c>
      <x:c r="C221" s="9" t="n">
        <x:v>8</x:v>
      </x:c>
      <x:c r="D221" s="10" t="n">
        <x:v>46296</x:v>
      </x:c>
      <x:c r="E221" s="11" t="str">
        <x:f>TRIM(B221)</x:f>
        <x:v>CPU001</x:v>
      </x:c>
      <x:c r="F221" s="11" t="str">
        <x:f>VLOOKUP(E221,'danh-muc-linh-kien'!$A$2:$D$9,2,FALSE)</x:f>
        <x:v>CPU Intel Core i5 12400</x:v>
      </x:c>
      <x:c r="G221" s="12" t="n">
        <x:f>VLOOKUP(E221,'danh-muc-linh-kien'!$A$2:$D$9,3,FALSE)</x:f>
        <x:v>3500000</x:v>
      </x:c>
      <x:c r="H221" s="11" t="str">
        <x:f>VLOOKUP(E221,'danh-muc-linh-kien'!$A$2:$D$9,4,FALSE)</x:f>
        <x:v>Khong ap dung</x:v>
      </x:c>
      <x:c r="I221" s="11" t="n">
        <x:f>COUNTIFS('danh-muc-linh-kien'!$A$2:$A$9,E221)</x:f>
        <x:v>1</x:v>
      </x:c>
    </x:row>
    <x:row r="222" ht="25" customHeight="1">
      <x:c r="A222" s="9" t="str">
        <x:v>TRAM074</x:v>
      </x:c>
      <x:c r="B222" s="9" t="str">
        <x:v>RAM001</x:v>
      </x:c>
      <x:c r="C222" s="9" t="n">
        <x:v>8</x:v>
      </x:c>
      <x:c r="D222" s="10" t="n">
        <x:v>46296</x:v>
      </x:c>
      <x:c r="E222" s="11" t="str">
        <x:f>TRIM(B222)</x:f>
        <x:v>RAM001</x:v>
      </x:c>
      <x:c r="F222" s="11" t="str">
        <x:f>VLOOKUP(E222,'danh-muc-linh-kien'!$A$2:$D$9,2,FALSE)</x:f>
        <x:v>RAM DDR4 8 GB</x:v>
      </x:c>
      <x:c r="G222" s="12" t="n">
        <x:f>VLOOKUP(E222,'danh-muc-linh-kien'!$A$2:$D$9,3,FALSE)</x:f>
        <x:v>450000</x:v>
      </x:c>
      <x:c r="H222" s="11" t="str">
        <x:f>VLOOKUP(E222,'danh-muc-linh-kien'!$A$2:$D$9,4,FALSE)</x:f>
        <x:v>Khong ap dung</x:v>
      </x:c>
      <x:c r="I222" s="11" t="n">
        <x:f>COUNTIFS('danh-muc-linh-kien'!$A$2:$A$9,E222)</x:f>
        <x:v>1</x:v>
      </x:c>
    </x:row>
    <x:row r="223" ht="25" customHeight="1">
      <x:c r="A223" s="9" t="str">
        <x:v>TRAM074</x:v>
      </x:c>
      <x:c r="B223" s="9" t="str">
        <x:v>SSD002</x:v>
      </x:c>
      <x:c r="C223" s="9" t="n">
        <x:v>8</x:v>
      </x:c>
      <x:c r="D223" s="10" t="n">
        <x:v>46296</x:v>
      </x:c>
      <x:c r="E223" s="11" t="str">
        <x:f>TRIM(B223)</x:f>
        <x:v>SSD002</x:v>
      </x:c>
      <x:c r="F223" s="11" t="str">
        <x:f>VLOOKUP(E223,'danh-muc-linh-kien'!$A$2:$D$9,2,FALSE)</x:f>
        <x:v>SSD NVMe 512 GB</x:v>
      </x:c>
      <x:c r="G223" s="12" t="n">
        <x:f>VLOOKUP(E223,'danh-muc-linh-kien'!$A$2:$D$9,3,FALSE)</x:f>
        <x:v>900000</x:v>
      </x:c>
      <x:c r="H223" s="11" t="str">
        <x:f>VLOOKUP(E223,'danh-muc-linh-kien'!$A$2:$D$9,4,FALSE)</x:f>
        <x:v>SSD</x:v>
      </x:c>
      <x:c r="I223" s="11" t="n">
        <x:f>COUNTIFS('danh-muc-linh-kien'!$A$2:$A$9,E223)</x:f>
        <x:v>1</x:v>
      </x:c>
    </x:row>
    <x:row r="224" ht="25" customHeight="1">
      <x:c r="A224" s="9" t="str">
        <x:v>TRAM075</x:v>
      </x:c>
      <x:c r="B224" s="9" t="str">
        <x:v>CPU002</x:v>
      </x:c>
      <x:c r="C224" s="9" t="n">
        <x:v>16</x:v>
      </x:c>
      <x:c r="D224" s="10" t="n">
        <x:v>46296</x:v>
      </x:c>
      <x:c r="E224" s="11" t="str">
        <x:f>TRIM(B224)</x:f>
        <x:v>CPU002</x:v>
      </x:c>
      <x:c r="F224" s="11" t="str">
        <x:f>VLOOKUP(E224,'danh-muc-linh-kien'!$A$2:$D$9,2,FALSE)</x:f>
        <x:v>CPU AMD Ryzen 5 5600</x:v>
      </x:c>
      <x:c r="G224" s="12" t="n">
        <x:f>VLOOKUP(E224,'danh-muc-linh-kien'!$A$2:$D$9,3,FALSE)</x:f>
        <x:v>2800000</x:v>
      </x:c>
      <x:c r="H224" s="11" t="str">
        <x:f>VLOOKUP(E224,'danh-muc-linh-kien'!$A$2:$D$9,4,FALSE)</x:f>
        <x:v>Khong ap dung</x:v>
      </x:c>
      <x:c r="I224" s="11" t="n">
        <x:f>COUNTIFS('danh-muc-linh-kien'!$A$2:$A$9,E224)</x:f>
        <x:v>1</x:v>
      </x:c>
    </x:row>
    <x:row r="225" ht="25" customHeight="1">
      <x:c r="A225" s="9" t="str">
        <x:v>TRAM075</x:v>
      </x:c>
      <x:c r="B225" s="9" t="str">
        <x:v>RAM002</x:v>
      </x:c>
      <x:c r="C225" s="9" t="n">
        <x:v>16</x:v>
      </x:c>
      <x:c r="D225" s="10" t="n">
        <x:v>46296</x:v>
      </x:c>
      <x:c r="E225" s="11" t="str">
        <x:f>TRIM(B225)</x:f>
        <x:v>RAM002</x:v>
      </x:c>
      <x:c r="F225" s="11" t="str">
        <x:f>VLOOKUP(E225,'danh-muc-linh-kien'!$A$2:$D$9,2,FALSE)</x:f>
        <x:v>RAM DDR4 16 GB</x:v>
      </x:c>
      <x:c r="G225" s="12" t="n">
        <x:f>VLOOKUP(E225,'danh-muc-linh-kien'!$A$2:$D$9,3,FALSE)</x:f>
        <x:v>850000</x:v>
      </x:c>
      <x:c r="H225" s="11" t="str">
        <x:f>VLOOKUP(E225,'danh-muc-linh-kien'!$A$2:$D$9,4,FALSE)</x:f>
        <x:v>Khong ap dung</x:v>
      </x:c>
      <x:c r="I225" s="11" t="n">
        <x:f>COUNTIFS('danh-muc-linh-kien'!$A$2:$A$9,E225)</x:f>
        <x:v>1</x:v>
      </x:c>
    </x:row>
    <x:row r="226" ht="25" customHeight="1">
      <x:c r="A226" s="9" t="str">
        <x:v>TRAM075</x:v>
      </x:c>
      <x:c r="B226" s="9" t="str">
        <x:v>HDD001</x:v>
      </x:c>
      <x:c r="C226" s="9" t="n">
        <x:v>16</x:v>
      </x:c>
      <x:c r="D226" s="10" t="n">
        <x:v>46296</x:v>
      </x:c>
      <x:c r="E226" s="11" t="str">
        <x:f>TRIM(B226)</x:f>
        <x:v>HDD001</x:v>
      </x:c>
      <x:c r="F226" s="11" t="str">
        <x:f>VLOOKUP(E226,'danh-muc-linh-kien'!$A$2:$D$9,2,FALSE)</x:f>
        <x:v>HDD SATA 1 TB</x:v>
      </x:c>
      <x:c r="G226" s="12" t="n">
        <x:f>VLOOKUP(E226,'danh-muc-linh-kien'!$A$2:$D$9,3,FALSE)</x:f>
        <x:v>1100000</x:v>
      </x:c>
      <x:c r="H226" s="11" t="str">
        <x:f>VLOOKUP(E226,'danh-muc-linh-kien'!$A$2:$D$9,4,FALSE)</x:f>
        <x:v>HDD</x:v>
      </x:c>
      <x:c r="I226" s="11" t="n">
        <x:f>COUNTIFS('danh-muc-linh-kien'!$A$2:$A$9,E226)</x:f>
        <x:v>1</x:v>
      </x:c>
    </x:row>
    <x:row r="227" ht="25" customHeight="1">
      <x:c r="A227" s="9" t="str">
        <x:v>TRAM076</x:v>
      </x:c>
      <x:c r="B227" s="9" t="str">
        <x:v>CPU001</x:v>
      </x:c>
      <x:c r="C227" s="9" t="n">
        <x:v>8</x:v>
      </x:c>
      <x:c r="D227" s="10" t="n">
        <x:v>46296</x:v>
      </x:c>
      <x:c r="E227" s="11" t="str">
        <x:f>TRIM(B227)</x:f>
        <x:v>CPU001</x:v>
      </x:c>
      <x:c r="F227" s="11" t="str">
        <x:f>VLOOKUP(E227,'danh-muc-linh-kien'!$A$2:$D$9,2,FALSE)</x:f>
        <x:v>CPU Intel Core i5 12400</x:v>
      </x:c>
      <x:c r="G227" s="12" t="n">
        <x:f>VLOOKUP(E227,'danh-muc-linh-kien'!$A$2:$D$9,3,FALSE)</x:f>
        <x:v>3500000</x:v>
      </x:c>
      <x:c r="H227" s="11" t="str">
        <x:f>VLOOKUP(E227,'danh-muc-linh-kien'!$A$2:$D$9,4,FALSE)</x:f>
        <x:v>Khong ap dung</x:v>
      </x:c>
      <x:c r="I227" s="11" t="n">
        <x:f>COUNTIFS('danh-muc-linh-kien'!$A$2:$A$9,E227)</x:f>
        <x:v>1</x:v>
      </x:c>
    </x:row>
    <x:row r="228" ht="25" customHeight="1">
      <x:c r="A228" s="9" t="str">
        <x:v>TRAM076</x:v>
      </x:c>
      <x:c r="B228" s="9" t="str">
        <x:v>RAM001</x:v>
      </x:c>
      <x:c r="C228" s="9" t="n">
        <x:v>8</x:v>
      </x:c>
      <x:c r="D228" s="10" t="n">
        <x:v>46296</x:v>
      </x:c>
      <x:c r="E228" s="11" t="str">
        <x:f>TRIM(B228)</x:f>
        <x:v>RAM001</x:v>
      </x:c>
      <x:c r="F228" s="11" t="str">
        <x:f>VLOOKUP(E228,'danh-muc-linh-kien'!$A$2:$D$9,2,FALSE)</x:f>
        <x:v>RAM DDR4 8 GB</x:v>
      </x:c>
      <x:c r="G228" s="12" t="n">
        <x:f>VLOOKUP(E228,'danh-muc-linh-kien'!$A$2:$D$9,3,FALSE)</x:f>
        <x:v>450000</x:v>
      </x:c>
      <x:c r="H228" s="11" t="str">
        <x:f>VLOOKUP(E228,'danh-muc-linh-kien'!$A$2:$D$9,4,FALSE)</x:f>
        <x:v>Khong ap dung</x:v>
      </x:c>
      <x:c r="I228" s="11" t="n">
        <x:f>COUNTIFS('danh-muc-linh-kien'!$A$2:$A$9,E228)</x:f>
        <x:v>1</x:v>
      </x:c>
    </x:row>
    <x:row r="229" ht="25" customHeight="1">
      <x:c r="A229" s="9" t="str">
        <x:v>TRAM076</x:v>
      </x:c>
      <x:c r="B229" s="9" t="str">
        <x:v>HDD002</x:v>
      </x:c>
      <x:c r="C229" s="9" t="n">
        <x:v>8</x:v>
      </x:c>
      <x:c r="D229" s="10" t="n">
        <x:v>46296</x:v>
      </x:c>
      <x:c r="E229" s="11" t="str">
        <x:f>TRIM(B229)</x:f>
        <x:v>HDD002</x:v>
      </x:c>
      <x:c r="F229" s="11" t="str">
        <x:f>VLOOKUP(E229,'danh-muc-linh-kien'!$A$2:$D$9,2,FALSE)</x:f>
        <x:v>HDD SATA 2 TB</x:v>
      </x:c>
      <x:c r="G229" s="12" t="n">
        <x:f>VLOOKUP(E229,'danh-muc-linh-kien'!$A$2:$D$9,3,FALSE)</x:f>
        <x:v>1600000</x:v>
      </x:c>
      <x:c r="H229" s="11" t="str">
        <x:f>VLOOKUP(E229,'danh-muc-linh-kien'!$A$2:$D$9,4,FALSE)</x:f>
        <x:v>HDD</x:v>
      </x:c>
      <x:c r="I229" s="11" t="n">
        <x:f>COUNTIFS('danh-muc-linh-kien'!$A$2:$A$9,E229)</x:f>
        <x:v>1</x:v>
      </x:c>
    </x:row>
    <x:row r="230" ht="25" customHeight="1">
      <x:c r="A230" s="9" t="str">
        <x:v>TRAM077</x:v>
      </x:c>
      <x:c r="B230" s="9" t="str">
        <x:v>CPU002</x:v>
      </x:c>
      <x:c r="C230" s="9" t="n">
        <x:v>16</x:v>
      </x:c>
      <x:c r="D230" s="10" t="n">
        <x:v>46296</x:v>
      </x:c>
      <x:c r="E230" s="11" t="str">
        <x:f>TRIM(B230)</x:f>
        <x:v>CPU002</x:v>
      </x:c>
      <x:c r="F230" s="11" t="str">
        <x:f>VLOOKUP(E230,'danh-muc-linh-kien'!$A$2:$D$9,2,FALSE)</x:f>
        <x:v>CPU AMD Ryzen 5 5600</x:v>
      </x:c>
      <x:c r="G230" s="12" t="n">
        <x:f>VLOOKUP(E230,'danh-muc-linh-kien'!$A$2:$D$9,3,FALSE)</x:f>
        <x:v>2800000</x:v>
      </x:c>
      <x:c r="H230" s="11" t="str">
        <x:f>VLOOKUP(E230,'danh-muc-linh-kien'!$A$2:$D$9,4,FALSE)</x:f>
        <x:v>Khong ap dung</x:v>
      </x:c>
      <x:c r="I230" s="11" t="n">
        <x:f>COUNTIFS('danh-muc-linh-kien'!$A$2:$A$9,E230)</x:f>
        <x:v>1</x:v>
      </x:c>
    </x:row>
    <x:row r="231" ht="25" customHeight="1">
      <x:c r="A231" s="9" t="str">
        <x:v>TRAM077</x:v>
      </x:c>
      <x:c r="B231" s="9" t="str">
        <x:v>RAM002</x:v>
      </x:c>
      <x:c r="C231" s="9" t="n">
        <x:v>16</x:v>
      </x:c>
      <x:c r="D231" s="10" t="n">
        <x:v>46296</x:v>
      </x:c>
      <x:c r="E231" s="11" t="str">
        <x:f>TRIM(B231)</x:f>
        <x:v>RAM002</x:v>
      </x:c>
      <x:c r="F231" s="11" t="str">
        <x:f>VLOOKUP(E231,'danh-muc-linh-kien'!$A$2:$D$9,2,FALSE)</x:f>
        <x:v>RAM DDR4 16 GB</x:v>
      </x:c>
      <x:c r="G231" s="12" t="n">
        <x:f>VLOOKUP(E231,'danh-muc-linh-kien'!$A$2:$D$9,3,FALSE)</x:f>
        <x:v>850000</x:v>
      </x:c>
      <x:c r="H231" s="11" t="str">
        <x:f>VLOOKUP(E231,'danh-muc-linh-kien'!$A$2:$D$9,4,FALSE)</x:f>
        <x:v>Khong ap dung</x:v>
      </x:c>
      <x:c r="I231" s="11" t="n">
        <x:f>COUNTIFS('danh-muc-linh-kien'!$A$2:$A$9,E231)</x:f>
        <x:v>1</x:v>
      </x:c>
    </x:row>
    <x:row r="232" ht="25" customHeight="1">
      <x:c r="A232" s="9" t="str">
        <x:v>TRAM077</x:v>
      </x:c>
      <x:c r="B232" s="9" t="str">
        <x:v>SSD001</x:v>
      </x:c>
      <x:c r="C232" s="9" t="n">
        <x:v>16</x:v>
      </x:c>
      <x:c r="D232" s="10" t="n">
        <x:v>46296</x:v>
      </x:c>
      <x:c r="E232" s="11" t="str">
        <x:f>TRIM(B232)</x:f>
        <x:v>SSD001</x:v>
      </x:c>
      <x:c r="F232" s="11" t="str">
        <x:f>VLOOKUP(E232,'danh-muc-linh-kien'!$A$2:$D$9,2,FALSE)</x:f>
        <x:v>SSD SATA 256 GB</x:v>
      </x:c>
      <x:c r="G232" s="12" t="n">
        <x:f>VLOOKUP(E232,'danh-muc-linh-kien'!$A$2:$D$9,3,FALSE)</x:f>
        <x:v>500000</x:v>
      </x:c>
      <x:c r="H232" s="11" t="str">
        <x:f>VLOOKUP(E232,'danh-muc-linh-kien'!$A$2:$D$9,4,FALSE)</x:f>
        <x:v>SSD</x:v>
      </x:c>
      <x:c r="I232" s="11" t="n">
        <x:f>COUNTIFS('danh-muc-linh-kien'!$A$2:$A$9,E232)</x:f>
        <x:v>1</x:v>
      </x:c>
    </x:row>
    <x:row r="233" ht="25" customHeight="1">
      <x:c r="A233" s="9" t="str">
        <x:v>TRAM078</x:v>
      </x:c>
      <x:c r="B233" s="9" t="str">
        <x:v>CPU001</x:v>
      </x:c>
      <x:c r="C233" s="9" t="n">
        <x:v>8</x:v>
      </x:c>
      <x:c r="D233" s="10" t="n">
        <x:v>46296</x:v>
      </x:c>
      <x:c r="E233" s="11" t="str">
        <x:f>TRIM(B233)</x:f>
        <x:v>CPU001</x:v>
      </x:c>
      <x:c r="F233" s="11" t="str">
        <x:f>VLOOKUP(E233,'danh-muc-linh-kien'!$A$2:$D$9,2,FALSE)</x:f>
        <x:v>CPU Intel Core i5 12400</x:v>
      </x:c>
      <x:c r="G233" s="12" t="n">
        <x:f>VLOOKUP(E233,'danh-muc-linh-kien'!$A$2:$D$9,3,FALSE)</x:f>
        <x:v>3500000</x:v>
      </x:c>
      <x:c r="H233" s="11" t="str">
        <x:f>VLOOKUP(E233,'danh-muc-linh-kien'!$A$2:$D$9,4,FALSE)</x:f>
        <x:v>Khong ap dung</x:v>
      </x:c>
      <x:c r="I233" s="11" t="n">
        <x:f>COUNTIFS('danh-muc-linh-kien'!$A$2:$A$9,E233)</x:f>
        <x:v>1</x:v>
      </x:c>
    </x:row>
    <x:row r="234" ht="25" customHeight="1">
      <x:c r="A234" s="9" t="str">
        <x:v>TRAM078</x:v>
      </x:c>
      <x:c r="B234" s="9" t="str">
        <x:v>RAM001</x:v>
      </x:c>
      <x:c r="C234" s="9" t="n">
        <x:v>8</x:v>
      </x:c>
      <x:c r="D234" s="10" t="n">
        <x:v>46296</x:v>
      </x:c>
      <x:c r="E234" s="11" t="str">
        <x:f>TRIM(B234)</x:f>
        <x:v>RAM001</x:v>
      </x:c>
      <x:c r="F234" s="11" t="str">
        <x:f>VLOOKUP(E234,'danh-muc-linh-kien'!$A$2:$D$9,2,FALSE)</x:f>
        <x:v>RAM DDR4 8 GB</x:v>
      </x:c>
      <x:c r="G234" s="12" t="n">
        <x:f>VLOOKUP(E234,'danh-muc-linh-kien'!$A$2:$D$9,3,FALSE)</x:f>
        <x:v>450000</x:v>
      </x:c>
      <x:c r="H234" s="11" t="str">
        <x:f>VLOOKUP(E234,'danh-muc-linh-kien'!$A$2:$D$9,4,FALSE)</x:f>
        <x:v>Khong ap dung</x:v>
      </x:c>
      <x:c r="I234" s="11" t="n">
        <x:f>COUNTIFS('danh-muc-linh-kien'!$A$2:$A$9,E234)</x:f>
        <x:v>1</x:v>
      </x:c>
    </x:row>
    <x:row r="235" ht="25" customHeight="1">
      <x:c r="A235" s="9" t="str">
        <x:v>TRAM078</x:v>
      </x:c>
      <x:c r="B235" s="9" t="str">
        <x:v>SSD002</x:v>
      </x:c>
      <x:c r="C235" s="9" t="n">
        <x:v>8</x:v>
      </x:c>
      <x:c r="D235" s="10" t="n">
        <x:v>46296</x:v>
      </x:c>
      <x:c r="E235" s="11" t="str">
        <x:f>TRIM(B235)</x:f>
        <x:v>SSD002</x:v>
      </x:c>
      <x:c r="F235" s="11" t="str">
        <x:f>VLOOKUP(E235,'danh-muc-linh-kien'!$A$2:$D$9,2,FALSE)</x:f>
        <x:v>SSD NVMe 512 GB</x:v>
      </x:c>
      <x:c r="G235" s="12" t="n">
        <x:f>VLOOKUP(E235,'danh-muc-linh-kien'!$A$2:$D$9,3,FALSE)</x:f>
        <x:v>900000</x:v>
      </x:c>
      <x:c r="H235" s="11" t="str">
        <x:f>VLOOKUP(E235,'danh-muc-linh-kien'!$A$2:$D$9,4,FALSE)</x:f>
        <x:v>SSD</x:v>
      </x:c>
      <x:c r="I235" s="11" t="n">
        <x:f>COUNTIFS('danh-muc-linh-kien'!$A$2:$A$9,E235)</x:f>
        <x:v>1</x:v>
      </x:c>
    </x:row>
    <x:row r="236" ht="25" customHeight="1">
      <x:c r="A236" s="9" t="str">
        <x:v>TRAM079</x:v>
      </x:c>
      <x:c r="B236" s="9" t="str">
        <x:v>CPU002</x:v>
      </x:c>
      <x:c r="C236" s="9" t="n">
        <x:v>16</x:v>
      </x:c>
      <x:c r="D236" s="10" t="n">
        <x:v>46296</x:v>
      </x:c>
      <x:c r="E236" s="11" t="str">
        <x:f>TRIM(B236)</x:f>
        <x:v>CPU002</x:v>
      </x:c>
      <x:c r="F236" s="11" t="str">
        <x:f>VLOOKUP(E236,'danh-muc-linh-kien'!$A$2:$D$9,2,FALSE)</x:f>
        <x:v>CPU AMD Ryzen 5 5600</x:v>
      </x:c>
      <x:c r="G236" s="12" t="n">
        <x:f>VLOOKUP(E236,'danh-muc-linh-kien'!$A$2:$D$9,3,FALSE)</x:f>
        <x:v>2800000</x:v>
      </x:c>
      <x:c r="H236" s="11" t="str">
        <x:f>VLOOKUP(E236,'danh-muc-linh-kien'!$A$2:$D$9,4,FALSE)</x:f>
        <x:v>Khong ap dung</x:v>
      </x:c>
      <x:c r="I236" s="11" t="n">
        <x:f>COUNTIFS('danh-muc-linh-kien'!$A$2:$A$9,E236)</x:f>
        <x:v>1</x:v>
      </x:c>
    </x:row>
    <x:row r="237" ht="25" customHeight="1">
      <x:c r="A237" s="9" t="str">
        <x:v>TRAM079</x:v>
      </x:c>
      <x:c r="B237" s="9" t="str">
        <x:v>RAM002</x:v>
      </x:c>
      <x:c r="C237" s="9" t="n">
        <x:v>16</x:v>
      </x:c>
      <x:c r="D237" s="10" t="n">
        <x:v>46296</x:v>
      </x:c>
      <x:c r="E237" s="11" t="str">
        <x:f>TRIM(B237)</x:f>
        <x:v>RAM002</x:v>
      </x:c>
      <x:c r="F237" s="11" t="str">
        <x:f>VLOOKUP(E237,'danh-muc-linh-kien'!$A$2:$D$9,2,FALSE)</x:f>
        <x:v>RAM DDR4 16 GB</x:v>
      </x:c>
      <x:c r="G237" s="12" t="n">
        <x:f>VLOOKUP(E237,'danh-muc-linh-kien'!$A$2:$D$9,3,FALSE)</x:f>
        <x:v>850000</x:v>
      </x:c>
      <x:c r="H237" s="11" t="str">
        <x:f>VLOOKUP(E237,'danh-muc-linh-kien'!$A$2:$D$9,4,FALSE)</x:f>
        <x:v>Khong ap dung</x:v>
      </x:c>
      <x:c r="I237" s="11" t="n">
        <x:f>COUNTIFS('danh-muc-linh-kien'!$A$2:$A$9,E237)</x:f>
        <x:v>1</x:v>
      </x:c>
    </x:row>
    <x:row r="238" ht="25" customHeight="1">
      <x:c r="A238" s="9" t="str">
        <x:v>TRAM079</x:v>
      </x:c>
      <x:c r="B238" s="9" t="str">
        <x:v>HDD001</x:v>
      </x:c>
      <x:c r="C238" s="9" t="n">
        <x:v>16</x:v>
      </x:c>
      <x:c r="D238" s="10" t="n">
        <x:v>46296</x:v>
      </x:c>
      <x:c r="E238" s="11" t="str">
        <x:f>TRIM(B238)</x:f>
        <x:v>HDD001</x:v>
      </x:c>
      <x:c r="F238" s="11" t="str">
        <x:f>VLOOKUP(E238,'danh-muc-linh-kien'!$A$2:$D$9,2,FALSE)</x:f>
        <x:v>HDD SATA 1 TB</x:v>
      </x:c>
      <x:c r="G238" s="12" t="n">
        <x:f>VLOOKUP(E238,'danh-muc-linh-kien'!$A$2:$D$9,3,FALSE)</x:f>
        <x:v>1100000</x:v>
      </x:c>
      <x:c r="H238" s="11" t="str">
        <x:f>VLOOKUP(E238,'danh-muc-linh-kien'!$A$2:$D$9,4,FALSE)</x:f>
        <x:v>HDD</x:v>
      </x:c>
      <x:c r="I238" s="11" t="n">
        <x:f>COUNTIFS('danh-muc-linh-kien'!$A$2:$A$9,E238)</x:f>
        <x:v>1</x:v>
      </x:c>
    </x:row>
    <x:row r="239" ht="25" customHeight="1">
      <x:c r="A239" s="9" t="str">
        <x:v>TRAM080</x:v>
      </x:c>
      <x:c r="B239" s="9" t="str">
        <x:v>  CPU001  </x:v>
      </x:c>
      <x:c r="C239" s="9" t="n">
        <x:v>8</x:v>
      </x:c>
      <x:c r="D239" s="10" t="n">
        <x:v>46296</x:v>
      </x:c>
      <x:c r="E239" s="11" t="str">
        <x:f>TRIM(B239)</x:f>
        <x:v>CPU001</x:v>
      </x:c>
      <x:c r="F239" s="11" t="str">
        <x:f>VLOOKUP(E239,'danh-muc-linh-kien'!$A$2:$D$9,2,FALSE)</x:f>
        <x:v>CPU Intel Core i5 12400</x:v>
      </x:c>
      <x:c r="G239" s="12" t="n">
        <x:f>VLOOKUP(E239,'danh-muc-linh-kien'!$A$2:$D$9,3,FALSE)</x:f>
        <x:v>3500000</x:v>
      </x:c>
      <x:c r="H239" s="11" t="str">
        <x:f>VLOOKUP(E239,'danh-muc-linh-kien'!$A$2:$D$9,4,FALSE)</x:f>
        <x:v>Khong ap dung</x:v>
      </x:c>
      <x:c r="I239" s="11" t="n">
        <x:f>COUNTIFS('danh-muc-linh-kien'!$A$2:$A$9,E239)</x:f>
        <x:v>1</x:v>
      </x:c>
    </x:row>
    <x:row r="240" ht="25" customHeight="1">
      <x:c r="A240" s="9" t="str">
        <x:v>TRAM080</x:v>
      </x:c>
      <x:c r="B240" s="9" t="str">
        <x:v>  RAM001  </x:v>
      </x:c>
      <x:c r="C240" s="9" t="n">
        <x:v>8</x:v>
      </x:c>
      <x:c r="D240" s="10" t="n">
        <x:v>46296</x:v>
      </x:c>
      <x:c r="E240" s="11" t="str">
        <x:f>TRIM(B240)</x:f>
        <x:v>RAM001</x:v>
      </x:c>
      <x:c r="F240" s="11" t="str">
        <x:f>VLOOKUP(E240,'danh-muc-linh-kien'!$A$2:$D$9,2,FALSE)</x:f>
        <x:v>RAM DDR4 8 GB</x:v>
      </x:c>
      <x:c r="G240" s="12" t="n">
        <x:f>VLOOKUP(E240,'danh-muc-linh-kien'!$A$2:$D$9,3,FALSE)</x:f>
        <x:v>450000</x:v>
      </x:c>
      <x:c r="H240" s="11" t="str">
        <x:f>VLOOKUP(E240,'danh-muc-linh-kien'!$A$2:$D$9,4,FALSE)</x:f>
        <x:v>Khong ap dung</x:v>
      </x:c>
      <x:c r="I240" s="11" t="n">
        <x:f>COUNTIFS('danh-muc-linh-kien'!$A$2:$A$9,E240)</x:f>
        <x:v>1</x:v>
      </x:c>
    </x:row>
    <x:row r="241" ht="25" customHeight="1">
      <x:c r="A241" s="9" t="str">
        <x:v>TRAM080</x:v>
      </x:c>
      <x:c r="B241" s="9" t="str">
        <x:v>  HDD002  </x:v>
      </x:c>
      <x:c r="C241" s="9" t="n">
        <x:v>8</x:v>
      </x:c>
      <x:c r="D241" s="10" t="n">
        <x:v>46296</x:v>
      </x:c>
      <x:c r="E241" s="11" t="str">
        <x:f>TRIM(B241)</x:f>
        <x:v>HDD002</x:v>
      </x:c>
      <x:c r="F241" s="11" t="str">
        <x:f>VLOOKUP(E241,'danh-muc-linh-kien'!$A$2:$D$9,2,FALSE)</x:f>
        <x:v>HDD SATA 2 TB</x:v>
      </x:c>
      <x:c r="G241" s="12" t="n">
        <x:f>VLOOKUP(E241,'danh-muc-linh-kien'!$A$2:$D$9,3,FALSE)</x:f>
        <x:v>1600000</x:v>
      </x:c>
      <x:c r="H241" s="11" t="str">
        <x:f>VLOOKUP(E241,'danh-muc-linh-kien'!$A$2:$D$9,4,FALSE)</x:f>
        <x:v>HDD</x:v>
      </x:c>
      <x:c r="I241" s="11" t="n">
        <x:f>COUNTIFS('danh-muc-linh-kien'!$A$2:$A$9,E241)</x:f>
        <x:v>1</x:v>
      </x:c>
    </x:row>
    <x:row r="242" ht="25" customHeight="1">
      <x:c r="A242" s="9" t="str">
        <x:v>TRAM081</x:v>
      </x:c>
      <x:c r="B242" s="9" t="str">
        <x:v>CPU002</x:v>
      </x:c>
      <x:c r="C242" s="9" t="n">
        <x:v>16</x:v>
      </x:c>
      <x:c r="D242" s="10" t="n">
        <x:v>46296</x:v>
      </x:c>
      <x:c r="E242" s="11" t="str">
        <x:f>TRIM(B242)</x:f>
        <x:v>CPU002</x:v>
      </x:c>
      <x:c r="F242" s="11" t="str">
        <x:f>VLOOKUP(E242,'danh-muc-linh-kien'!$A$2:$D$9,2,FALSE)</x:f>
        <x:v>CPU AMD Ryzen 5 5600</x:v>
      </x:c>
      <x:c r="G242" s="12" t="n">
        <x:f>VLOOKUP(E242,'danh-muc-linh-kien'!$A$2:$D$9,3,FALSE)</x:f>
        <x:v>2800000</x:v>
      </x:c>
      <x:c r="H242" s="11" t="str">
        <x:f>VLOOKUP(E242,'danh-muc-linh-kien'!$A$2:$D$9,4,FALSE)</x:f>
        <x:v>Khong ap dung</x:v>
      </x:c>
      <x:c r="I242" s="11" t="n">
        <x:f>COUNTIFS('danh-muc-linh-kien'!$A$2:$A$9,E242)</x:f>
        <x:v>1</x:v>
      </x:c>
    </x:row>
    <x:row r="243" ht="25" customHeight="1">
      <x:c r="A243" s="9" t="str">
        <x:v>TRAM081</x:v>
      </x:c>
      <x:c r="B243" s="9" t="str">
        <x:v>RAM002</x:v>
      </x:c>
      <x:c r="C243" s="9" t="n">
        <x:v>16</x:v>
      </x:c>
      <x:c r="D243" s="10" t="n">
        <x:v>46296</x:v>
      </x:c>
      <x:c r="E243" s="11" t="str">
        <x:f>TRIM(B243)</x:f>
        <x:v>RAM002</x:v>
      </x:c>
      <x:c r="F243" s="11" t="str">
        <x:f>VLOOKUP(E243,'danh-muc-linh-kien'!$A$2:$D$9,2,FALSE)</x:f>
        <x:v>RAM DDR4 16 GB</x:v>
      </x:c>
      <x:c r="G243" s="12" t="n">
        <x:f>VLOOKUP(E243,'danh-muc-linh-kien'!$A$2:$D$9,3,FALSE)</x:f>
        <x:v>850000</x:v>
      </x:c>
      <x:c r="H243" s="11" t="str">
        <x:f>VLOOKUP(E243,'danh-muc-linh-kien'!$A$2:$D$9,4,FALSE)</x:f>
        <x:v>Khong ap dung</x:v>
      </x:c>
      <x:c r="I243" s="11" t="n">
        <x:f>COUNTIFS('danh-muc-linh-kien'!$A$2:$A$9,E243)</x:f>
        <x:v>1</x:v>
      </x:c>
    </x:row>
    <x:row r="244" ht="25" customHeight="1">
      <x:c r="A244" s="9" t="str">
        <x:v>TRAM081</x:v>
      </x:c>
      <x:c r="B244" s="9" t="str">
        <x:v>SSD001</x:v>
      </x:c>
      <x:c r="C244" s="9" t="n">
        <x:v>16</x:v>
      </x:c>
      <x:c r="D244" s="10" t="n">
        <x:v>46296</x:v>
      </x:c>
      <x:c r="E244" s="11" t="str">
        <x:f>TRIM(B244)</x:f>
        <x:v>SSD001</x:v>
      </x:c>
      <x:c r="F244" s="11" t="str">
        <x:f>VLOOKUP(E244,'danh-muc-linh-kien'!$A$2:$D$9,2,FALSE)</x:f>
        <x:v>SSD SATA 256 GB</x:v>
      </x:c>
      <x:c r="G244" s="12" t="n">
        <x:f>VLOOKUP(E244,'danh-muc-linh-kien'!$A$2:$D$9,3,FALSE)</x:f>
        <x:v>500000</x:v>
      </x:c>
      <x:c r="H244" s="11" t="str">
        <x:f>VLOOKUP(E244,'danh-muc-linh-kien'!$A$2:$D$9,4,FALSE)</x:f>
        <x:v>SSD</x:v>
      </x:c>
      <x:c r="I244" s="11" t="n">
        <x:f>COUNTIFS('danh-muc-linh-kien'!$A$2:$A$9,E244)</x:f>
        <x:v>1</x:v>
      </x:c>
    </x:row>
    <x:row r="245" ht="25" customHeight="1">
      <x:c r="A245" s="9" t="str">
        <x:v>TRAM082</x:v>
      </x:c>
      <x:c r="B245" s="9" t="str">
        <x:v>CPU001</x:v>
      </x:c>
      <x:c r="C245" s="9" t="n">
        <x:v>8</x:v>
      </x:c>
      <x:c r="D245" s="10" t="n">
        <x:v>46296</x:v>
      </x:c>
      <x:c r="E245" s="11" t="str">
        <x:f>TRIM(B245)</x:f>
        <x:v>CPU001</x:v>
      </x:c>
      <x:c r="F245" s="11" t="str">
        <x:f>VLOOKUP(E245,'danh-muc-linh-kien'!$A$2:$D$9,2,FALSE)</x:f>
        <x:v>CPU Intel Core i5 12400</x:v>
      </x:c>
      <x:c r="G245" s="12" t="n">
        <x:f>VLOOKUP(E245,'danh-muc-linh-kien'!$A$2:$D$9,3,FALSE)</x:f>
        <x:v>3500000</x:v>
      </x:c>
      <x:c r="H245" s="11" t="str">
        <x:f>VLOOKUP(E245,'danh-muc-linh-kien'!$A$2:$D$9,4,FALSE)</x:f>
        <x:v>Khong ap dung</x:v>
      </x:c>
      <x:c r="I245" s="11" t="n">
        <x:f>COUNTIFS('danh-muc-linh-kien'!$A$2:$A$9,E245)</x:f>
        <x:v>1</x:v>
      </x:c>
    </x:row>
    <x:row r="246" ht="25" customHeight="1">
      <x:c r="A246" s="9" t="str">
        <x:v>TRAM082</x:v>
      </x:c>
      <x:c r="B246" s="9" t="str">
        <x:v>RAM001</x:v>
      </x:c>
      <x:c r="C246" s="9" t="n">
        <x:v>8</x:v>
      </x:c>
      <x:c r="D246" s="10" t="n">
        <x:v>46296</x:v>
      </x:c>
      <x:c r="E246" s="11" t="str">
        <x:f>TRIM(B246)</x:f>
        <x:v>RAM001</x:v>
      </x:c>
      <x:c r="F246" s="11" t="str">
        <x:f>VLOOKUP(E246,'danh-muc-linh-kien'!$A$2:$D$9,2,FALSE)</x:f>
        <x:v>RAM DDR4 8 GB</x:v>
      </x:c>
      <x:c r="G246" s="12" t="n">
        <x:f>VLOOKUP(E246,'danh-muc-linh-kien'!$A$2:$D$9,3,FALSE)</x:f>
        <x:v>450000</x:v>
      </x:c>
      <x:c r="H246" s="11" t="str">
        <x:f>VLOOKUP(E246,'danh-muc-linh-kien'!$A$2:$D$9,4,FALSE)</x:f>
        <x:v>Khong ap dung</x:v>
      </x:c>
      <x:c r="I246" s="11" t="n">
        <x:f>COUNTIFS('danh-muc-linh-kien'!$A$2:$A$9,E246)</x:f>
        <x:v>1</x:v>
      </x:c>
    </x:row>
    <x:row r="247" ht="25" customHeight="1">
      <x:c r="A247" s="9" t="str">
        <x:v>TRAM082</x:v>
      </x:c>
      <x:c r="B247" s="9" t="str">
        <x:v>SSD002</x:v>
      </x:c>
      <x:c r="C247" s="9" t="n">
        <x:v>8</x:v>
      </x:c>
      <x:c r="D247" s="10" t="n">
        <x:v>46296</x:v>
      </x:c>
      <x:c r="E247" s="11" t="str">
        <x:f>TRIM(B247)</x:f>
        <x:v>SSD002</x:v>
      </x:c>
      <x:c r="F247" s="11" t="str">
        <x:f>VLOOKUP(E247,'danh-muc-linh-kien'!$A$2:$D$9,2,FALSE)</x:f>
        <x:v>SSD NVMe 512 GB</x:v>
      </x:c>
      <x:c r="G247" s="12" t="n">
        <x:f>VLOOKUP(E247,'danh-muc-linh-kien'!$A$2:$D$9,3,FALSE)</x:f>
        <x:v>900000</x:v>
      </x:c>
      <x:c r="H247" s="11" t="str">
        <x:f>VLOOKUP(E247,'danh-muc-linh-kien'!$A$2:$D$9,4,FALSE)</x:f>
        <x:v>SSD</x:v>
      </x:c>
      <x:c r="I247" s="11" t="n">
        <x:f>COUNTIFS('danh-muc-linh-kien'!$A$2:$A$9,E247)</x:f>
        <x:v>1</x:v>
      </x:c>
    </x:row>
    <x:row r="248" ht="25" customHeight="1">
      <x:c r="A248" s="9" t="str">
        <x:v>TRAM083</x:v>
      </x:c>
      <x:c r="B248" s="9" t="str">
        <x:v>CPU002</x:v>
      </x:c>
      <x:c r="C248" s="9" t="n">
        <x:v>16</x:v>
      </x:c>
      <x:c r="D248" s="10" t="n">
        <x:v>46296</x:v>
      </x:c>
      <x:c r="E248" s="11" t="str">
        <x:f>TRIM(B248)</x:f>
        <x:v>CPU002</x:v>
      </x:c>
      <x:c r="F248" s="11" t="str">
        <x:f>VLOOKUP(E248,'danh-muc-linh-kien'!$A$2:$D$9,2,FALSE)</x:f>
        <x:v>CPU AMD Ryzen 5 5600</x:v>
      </x:c>
      <x:c r="G248" s="12" t="n">
        <x:f>VLOOKUP(E248,'danh-muc-linh-kien'!$A$2:$D$9,3,FALSE)</x:f>
        <x:v>2800000</x:v>
      </x:c>
      <x:c r="H248" s="11" t="str">
        <x:f>VLOOKUP(E248,'danh-muc-linh-kien'!$A$2:$D$9,4,FALSE)</x:f>
        <x:v>Khong ap dung</x:v>
      </x:c>
      <x:c r="I248" s="11" t="n">
        <x:f>COUNTIFS('danh-muc-linh-kien'!$A$2:$A$9,E248)</x:f>
        <x:v>1</x:v>
      </x:c>
    </x:row>
    <x:row r="249" ht="25" customHeight="1">
      <x:c r="A249" s="9" t="str">
        <x:v>TRAM083</x:v>
      </x:c>
      <x:c r="B249" s="9" t="str">
        <x:v>RAM002</x:v>
      </x:c>
      <x:c r="C249" s="9" t="n">
        <x:v>16</x:v>
      </x:c>
      <x:c r="D249" s="10" t="n">
        <x:v>46296</x:v>
      </x:c>
      <x:c r="E249" s="11" t="str">
        <x:f>TRIM(B249)</x:f>
        <x:v>RAM002</x:v>
      </x:c>
      <x:c r="F249" s="11" t="str">
        <x:f>VLOOKUP(E249,'danh-muc-linh-kien'!$A$2:$D$9,2,FALSE)</x:f>
        <x:v>RAM DDR4 16 GB</x:v>
      </x:c>
      <x:c r="G249" s="12" t="n">
        <x:f>VLOOKUP(E249,'danh-muc-linh-kien'!$A$2:$D$9,3,FALSE)</x:f>
        <x:v>850000</x:v>
      </x:c>
      <x:c r="H249" s="11" t="str">
        <x:f>VLOOKUP(E249,'danh-muc-linh-kien'!$A$2:$D$9,4,FALSE)</x:f>
        <x:v>Khong ap dung</x:v>
      </x:c>
      <x:c r="I249" s="11" t="n">
        <x:f>COUNTIFS('danh-muc-linh-kien'!$A$2:$A$9,E249)</x:f>
        <x:v>1</x:v>
      </x:c>
    </x:row>
    <x:row r="250" ht="25" customHeight="1">
      <x:c r="A250" s="9" t="str">
        <x:v>TRAM083</x:v>
      </x:c>
      <x:c r="B250" s="9" t="str">
        <x:v>HDD001</x:v>
      </x:c>
      <x:c r="C250" s="9" t="n">
        <x:v>16</x:v>
      </x:c>
      <x:c r="D250" s="10" t="n">
        <x:v>46296</x:v>
      </x:c>
      <x:c r="E250" s="11" t="str">
        <x:f>TRIM(B250)</x:f>
        <x:v>HDD001</x:v>
      </x:c>
      <x:c r="F250" s="11" t="str">
        <x:f>VLOOKUP(E250,'danh-muc-linh-kien'!$A$2:$D$9,2,FALSE)</x:f>
        <x:v>HDD SATA 1 TB</x:v>
      </x:c>
      <x:c r="G250" s="12" t="n">
        <x:f>VLOOKUP(E250,'danh-muc-linh-kien'!$A$2:$D$9,3,FALSE)</x:f>
        <x:v>1100000</x:v>
      </x:c>
      <x:c r="H250" s="11" t="str">
        <x:f>VLOOKUP(E250,'danh-muc-linh-kien'!$A$2:$D$9,4,FALSE)</x:f>
        <x:v>HDD</x:v>
      </x:c>
      <x:c r="I250" s="11" t="n">
        <x:f>COUNTIFS('danh-muc-linh-kien'!$A$2:$A$9,E250)</x:f>
        <x:v>1</x:v>
      </x:c>
    </x:row>
    <x:row r="251" ht="25" customHeight="1">
      <x:c r="A251" s="9" t="str">
        <x:v>TRAM084</x:v>
      </x:c>
      <x:c r="B251" s="9" t="str">
        <x:v>CPU001</x:v>
      </x:c>
      <x:c r="C251" s="9" t="n">
        <x:v>8</x:v>
      </x:c>
      <x:c r="D251" s="10" t="n">
        <x:v>46296</x:v>
      </x:c>
      <x:c r="E251" s="11" t="str">
        <x:f>TRIM(B251)</x:f>
        <x:v>CPU001</x:v>
      </x:c>
      <x:c r="F251" s="11" t="str">
        <x:f>VLOOKUP(E251,'danh-muc-linh-kien'!$A$2:$D$9,2,FALSE)</x:f>
        <x:v>CPU Intel Core i5 12400</x:v>
      </x:c>
      <x:c r="G251" s="12" t="n">
        <x:f>VLOOKUP(E251,'danh-muc-linh-kien'!$A$2:$D$9,3,FALSE)</x:f>
        <x:v>3500000</x:v>
      </x:c>
      <x:c r="H251" s="11" t="str">
        <x:f>VLOOKUP(E251,'danh-muc-linh-kien'!$A$2:$D$9,4,FALSE)</x:f>
        <x:v>Khong ap dung</x:v>
      </x:c>
      <x:c r="I251" s="11" t="n">
        <x:f>COUNTIFS('danh-muc-linh-kien'!$A$2:$A$9,E251)</x:f>
        <x:v>1</x:v>
      </x:c>
    </x:row>
    <x:row r="252" ht="25" customHeight="1">
      <x:c r="A252" s="9" t="str">
        <x:v>TRAM084</x:v>
      </x:c>
      <x:c r="B252" s="9" t="str">
        <x:v>RAM001</x:v>
      </x:c>
      <x:c r="C252" s="9" t="n">
        <x:v>8</x:v>
      </x:c>
      <x:c r="D252" s="10" t="n">
        <x:v>46296</x:v>
      </x:c>
      <x:c r="E252" s="11" t="str">
        <x:f>TRIM(B252)</x:f>
        <x:v>RAM001</x:v>
      </x:c>
      <x:c r="F252" s="11" t="str">
        <x:f>VLOOKUP(E252,'danh-muc-linh-kien'!$A$2:$D$9,2,FALSE)</x:f>
        <x:v>RAM DDR4 8 GB</x:v>
      </x:c>
      <x:c r="G252" s="12" t="n">
        <x:f>VLOOKUP(E252,'danh-muc-linh-kien'!$A$2:$D$9,3,FALSE)</x:f>
        <x:v>450000</x:v>
      </x:c>
      <x:c r="H252" s="11" t="str">
        <x:f>VLOOKUP(E252,'danh-muc-linh-kien'!$A$2:$D$9,4,FALSE)</x:f>
        <x:v>Khong ap dung</x:v>
      </x:c>
      <x:c r="I252" s="11" t="n">
        <x:f>COUNTIFS('danh-muc-linh-kien'!$A$2:$A$9,E252)</x:f>
        <x:v>1</x:v>
      </x:c>
    </x:row>
    <x:row r="253" ht="25" customHeight="1">
      <x:c r="A253" s="9" t="str">
        <x:v>TRAM084</x:v>
      </x:c>
      <x:c r="B253" s="9" t="str">
        <x:v>HDD002</x:v>
      </x:c>
      <x:c r="C253" s="9" t="n">
        <x:v>8</x:v>
      </x:c>
      <x:c r="D253" s="10" t="n">
        <x:v>46296</x:v>
      </x:c>
      <x:c r="E253" s="11" t="str">
        <x:f>TRIM(B253)</x:f>
        <x:v>HDD002</x:v>
      </x:c>
      <x:c r="F253" s="11" t="str">
        <x:f>VLOOKUP(E253,'danh-muc-linh-kien'!$A$2:$D$9,2,FALSE)</x:f>
        <x:v>HDD SATA 2 TB</x:v>
      </x:c>
      <x:c r="G253" s="12" t="n">
        <x:f>VLOOKUP(E253,'danh-muc-linh-kien'!$A$2:$D$9,3,FALSE)</x:f>
        <x:v>1600000</x:v>
      </x:c>
      <x:c r="H253" s="11" t="str">
        <x:f>VLOOKUP(E253,'danh-muc-linh-kien'!$A$2:$D$9,4,FALSE)</x:f>
        <x:v>HDD</x:v>
      </x:c>
      <x:c r="I253" s="11" t="n">
        <x:f>COUNTIFS('danh-muc-linh-kien'!$A$2:$A$9,E253)</x:f>
        <x:v>1</x:v>
      </x:c>
    </x:row>
    <x:row r="254" ht="25" customHeight="1">
      <x:c r="A254" s="9" t="str">
        <x:v>TRAM085</x:v>
      </x:c>
      <x:c r="B254" s="9" t="str">
        <x:v>CPU002</x:v>
      </x:c>
      <x:c r="C254" s="9" t="n">
        <x:v>16</x:v>
      </x:c>
      <x:c r="D254" s="10" t="n">
        <x:v>46296</x:v>
      </x:c>
      <x:c r="E254" s="11" t="str">
        <x:f>TRIM(B254)</x:f>
        <x:v>CPU002</x:v>
      </x:c>
      <x:c r="F254" s="11" t="str">
        <x:f>VLOOKUP(E254,'danh-muc-linh-kien'!$A$2:$D$9,2,FALSE)</x:f>
        <x:v>CPU AMD Ryzen 5 5600</x:v>
      </x:c>
      <x:c r="G254" s="12" t="n">
        <x:f>VLOOKUP(E254,'danh-muc-linh-kien'!$A$2:$D$9,3,FALSE)</x:f>
        <x:v>2800000</x:v>
      </x:c>
      <x:c r="H254" s="11" t="str">
        <x:f>VLOOKUP(E254,'danh-muc-linh-kien'!$A$2:$D$9,4,FALSE)</x:f>
        <x:v>Khong ap dung</x:v>
      </x:c>
      <x:c r="I254" s="11" t="n">
        <x:f>COUNTIFS('danh-muc-linh-kien'!$A$2:$A$9,E254)</x:f>
        <x:v>1</x:v>
      </x:c>
    </x:row>
    <x:row r="255" ht="25" customHeight="1">
      <x:c r="A255" s="9" t="str">
        <x:v>TRAM085</x:v>
      </x:c>
      <x:c r="B255" s="9" t="str">
        <x:v>RAM002</x:v>
      </x:c>
      <x:c r="C255" s="9" t="n">
        <x:v>16</x:v>
      </x:c>
      <x:c r="D255" s="10" t="n">
        <x:v>46296</x:v>
      </x:c>
      <x:c r="E255" s="11" t="str">
        <x:f>TRIM(B255)</x:f>
        <x:v>RAM002</x:v>
      </x:c>
      <x:c r="F255" s="11" t="str">
        <x:f>VLOOKUP(E255,'danh-muc-linh-kien'!$A$2:$D$9,2,FALSE)</x:f>
        <x:v>RAM DDR4 16 GB</x:v>
      </x:c>
      <x:c r="G255" s="12" t="n">
        <x:f>VLOOKUP(E255,'danh-muc-linh-kien'!$A$2:$D$9,3,FALSE)</x:f>
        <x:v>850000</x:v>
      </x:c>
      <x:c r="H255" s="11" t="str">
        <x:f>VLOOKUP(E255,'danh-muc-linh-kien'!$A$2:$D$9,4,FALSE)</x:f>
        <x:v>Khong ap dung</x:v>
      </x:c>
      <x:c r="I255" s="11" t="n">
        <x:f>COUNTIFS('danh-muc-linh-kien'!$A$2:$A$9,E255)</x:f>
        <x:v>1</x:v>
      </x:c>
    </x:row>
    <x:row r="256" ht="25" customHeight="1">
      <x:c r="A256" s="9" t="str">
        <x:v>TRAM085</x:v>
      </x:c>
      <x:c r="B256" s="9" t="str">
        <x:v>SSD001</x:v>
      </x:c>
      <x:c r="C256" s="9" t="n">
        <x:v>16</x:v>
      </x:c>
      <x:c r="D256" s="10" t="n">
        <x:v>46296</x:v>
      </x:c>
      <x:c r="E256" s="11" t="str">
        <x:f>TRIM(B256)</x:f>
        <x:v>SSD001</x:v>
      </x:c>
      <x:c r="F256" s="11" t="str">
        <x:f>VLOOKUP(E256,'danh-muc-linh-kien'!$A$2:$D$9,2,FALSE)</x:f>
        <x:v>SSD SATA 256 GB</x:v>
      </x:c>
      <x:c r="G256" s="12" t="n">
        <x:f>VLOOKUP(E256,'danh-muc-linh-kien'!$A$2:$D$9,3,FALSE)</x:f>
        <x:v>500000</x:v>
      </x:c>
      <x:c r="H256" s="11" t="str">
        <x:f>VLOOKUP(E256,'danh-muc-linh-kien'!$A$2:$D$9,4,FALSE)</x:f>
        <x:v>SSD</x:v>
      </x:c>
      <x:c r="I256" s="11" t="n">
        <x:f>COUNTIFS('danh-muc-linh-kien'!$A$2:$A$9,E256)</x:f>
        <x:v>1</x:v>
      </x:c>
    </x:row>
    <x:row r="257" ht="25" customHeight="1">
      <x:c r="A257" s="9" t="str">
        <x:v>TRAM086</x:v>
      </x:c>
      <x:c r="B257" s="9" t="str">
        <x:v>CPU001</x:v>
      </x:c>
      <x:c r="C257" s="9" t="n">
        <x:v>8</x:v>
      </x:c>
      <x:c r="D257" s="10" t="n">
        <x:v>46296</x:v>
      </x:c>
      <x:c r="E257" s="11" t="str">
        <x:f>TRIM(B257)</x:f>
        <x:v>CPU001</x:v>
      </x:c>
      <x:c r="F257" s="11" t="str">
        <x:f>VLOOKUP(E257,'danh-muc-linh-kien'!$A$2:$D$9,2,FALSE)</x:f>
        <x:v>CPU Intel Core i5 12400</x:v>
      </x:c>
      <x:c r="G257" s="12" t="n">
        <x:f>VLOOKUP(E257,'danh-muc-linh-kien'!$A$2:$D$9,3,FALSE)</x:f>
        <x:v>3500000</x:v>
      </x:c>
      <x:c r="H257" s="11" t="str">
        <x:f>VLOOKUP(E257,'danh-muc-linh-kien'!$A$2:$D$9,4,FALSE)</x:f>
        <x:v>Khong ap dung</x:v>
      </x:c>
      <x:c r="I257" s="11" t="n">
        <x:f>COUNTIFS('danh-muc-linh-kien'!$A$2:$A$9,E257)</x:f>
        <x:v>1</x:v>
      </x:c>
    </x:row>
    <x:row r="258" ht="25" customHeight="1">
      <x:c r="A258" s="9" t="str">
        <x:v>TRAM086</x:v>
      </x:c>
      <x:c r="B258" s="9" t="str">
        <x:v>RAM001</x:v>
      </x:c>
      <x:c r="C258" s="9" t="n">
        <x:v>8</x:v>
      </x:c>
      <x:c r="D258" s="10" t="n">
        <x:v>46296</x:v>
      </x:c>
      <x:c r="E258" s="11" t="str">
        <x:f>TRIM(B258)</x:f>
        <x:v>RAM001</x:v>
      </x:c>
      <x:c r="F258" s="11" t="str">
        <x:f>VLOOKUP(E258,'danh-muc-linh-kien'!$A$2:$D$9,2,FALSE)</x:f>
        <x:v>RAM DDR4 8 GB</x:v>
      </x:c>
      <x:c r="G258" s="12" t="n">
        <x:f>VLOOKUP(E258,'danh-muc-linh-kien'!$A$2:$D$9,3,FALSE)</x:f>
        <x:v>450000</x:v>
      </x:c>
      <x:c r="H258" s="11" t="str">
        <x:f>VLOOKUP(E258,'danh-muc-linh-kien'!$A$2:$D$9,4,FALSE)</x:f>
        <x:v>Khong ap dung</x:v>
      </x:c>
      <x:c r="I258" s="11" t="n">
        <x:f>COUNTIFS('danh-muc-linh-kien'!$A$2:$A$9,E258)</x:f>
        <x:v>1</x:v>
      </x:c>
    </x:row>
    <x:row r="259" ht="25" customHeight="1">
      <x:c r="A259" s="9" t="str">
        <x:v>TRAM086</x:v>
      </x:c>
      <x:c r="B259" s="9" t="str">
        <x:v>SSD002</x:v>
      </x:c>
      <x:c r="C259" s="9" t="n">
        <x:v>8</x:v>
      </x:c>
      <x:c r="D259" s="10" t="n">
        <x:v>46296</x:v>
      </x:c>
      <x:c r="E259" s="11" t="str">
        <x:f>TRIM(B259)</x:f>
        <x:v>SSD002</x:v>
      </x:c>
      <x:c r="F259" s="11" t="str">
        <x:f>VLOOKUP(E259,'danh-muc-linh-kien'!$A$2:$D$9,2,FALSE)</x:f>
        <x:v>SSD NVMe 512 GB</x:v>
      </x:c>
      <x:c r="G259" s="12" t="n">
        <x:f>VLOOKUP(E259,'danh-muc-linh-kien'!$A$2:$D$9,3,FALSE)</x:f>
        <x:v>900000</x:v>
      </x:c>
      <x:c r="H259" s="11" t="str">
        <x:f>VLOOKUP(E259,'danh-muc-linh-kien'!$A$2:$D$9,4,FALSE)</x:f>
        <x:v>SSD</x:v>
      </x:c>
      <x:c r="I259" s="11" t="n">
        <x:f>COUNTIFS('danh-muc-linh-kien'!$A$2:$A$9,E259)</x:f>
        <x:v>1</x:v>
      </x:c>
    </x:row>
    <x:row r="260" ht="25" customHeight="1">
      <x:c r="A260" s="9" t="str">
        <x:v>TRAM087</x:v>
      </x:c>
      <x:c r="B260" s="9" t="str">
        <x:v>CPU002</x:v>
      </x:c>
      <x:c r="C260" s="9" t="n">
        <x:v>16</x:v>
      </x:c>
      <x:c r="D260" s="10" t="n">
        <x:v>46296</x:v>
      </x:c>
      <x:c r="E260" s="11" t="str">
        <x:f>TRIM(B260)</x:f>
        <x:v>CPU002</x:v>
      </x:c>
      <x:c r="F260" s="11" t="str">
        <x:f>VLOOKUP(E260,'danh-muc-linh-kien'!$A$2:$D$9,2,FALSE)</x:f>
        <x:v>CPU AMD Ryzen 5 5600</x:v>
      </x:c>
      <x:c r="G260" s="12" t="n">
        <x:f>VLOOKUP(E260,'danh-muc-linh-kien'!$A$2:$D$9,3,FALSE)</x:f>
        <x:v>2800000</x:v>
      </x:c>
      <x:c r="H260" s="11" t="str">
        <x:f>VLOOKUP(E260,'danh-muc-linh-kien'!$A$2:$D$9,4,FALSE)</x:f>
        <x:v>Khong ap dung</x:v>
      </x:c>
      <x:c r="I260" s="11" t="n">
        <x:f>COUNTIFS('danh-muc-linh-kien'!$A$2:$A$9,E260)</x:f>
        <x:v>1</x:v>
      </x:c>
    </x:row>
    <x:row r="261" ht="25" customHeight="1">
      <x:c r="A261" s="9" t="str">
        <x:v>TRAM087</x:v>
      </x:c>
      <x:c r="B261" s="9" t="str">
        <x:v>RAM002</x:v>
      </x:c>
      <x:c r="C261" s="9" t="n">
        <x:v>16</x:v>
      </x:c>
      <x:c r="D261" s="10" t="n">
        <x:v>46296</x:v>
      </x:c>
      <x:c r="E261" s="11" t="str">
        <x:f>TRIM(B261)</x:f>
        <x:v>RAM002</x:v>
      </x:c>
      <x:c r="F261" s="11" t="str">
        <x:f>VLOOKUP(E261,'danh-muc-linh-kien'!$A$2:$D$9,2,FALSE)</x:f>
        <x:v>RAM DDR4 16 GB</x:v>
      </x:c>
      <x:c r="G261" s="12" t="n">
        <x:f>VLOOKUP(E261,'danh-muc-linh-kien'!$A$2:$D$9,3,FALSE)</x:f>
        <x:v>850000</x:v>
      </x:c>
      <x:c r="H261" s="11" t="str">
        <x:f>VLOOKUP(E261,'danh-muc-linh-kien'!$A$2:$D$9,4,FALSE)</x:f>
        <x:v>Khong ap dung</x:v>
      </x:c>
      <x:c r="I261" s="11" t="n">
        <x:f>COUNTIFS('danh-muc-linh-kien'!$A$2:$A$9,E261)</x:f>
        <x:v>1</x:v>
      </x:c>
    </x:row>
    <x:row r="262" ht="25" customHeight="1">
      <x:c r="A262" s="9" t="str">
        <x:v>TRAM087</x:v>
      </x:c>
      <x:c r="B262" s="9" t="str">
        <x:v>HDD001</x:v>
      </x:c>
      <x:c r="C262" s="9" t="n">
        <x:v>16</x:v>
      </x:c>
      <x:c r="D262" s="10" t="n">
        <x:v>46296</x:v>
      </x:c>
      <x:c r="E262" s="11" t="str">
        <x:f>TRIM(B262)</x:f>
        <x:v>HDD001</x:v>
      </x:c>
      <x:c r="F262" s="11" t="str">
        <x:f>VLOOKUP(E262,'danh-muc-linh-kien'!$A$2:$D$9,2,FALSE)</x:f>
        <x:v>HDD SATA 1 TB</x:v>
      </x:c>
      <x:c r="G262" s="12" t="n">
        <x:f>VLOOKUP(E262,'danh-muc-linh-kien'!$A$2:$D$9,3,FALSE)</x:f>
        <x:v>1100000</x:v>
      </x:c>
      <x:c r="H262" s="11" t="str">
        <x:f>VLOOKUP(E262,'danh-muc-linh-kien'!$A$2:$D$9,4,FALSE)</x:f>
        <x:v>HDD</x:v>
      </x:c>
      <x:c r="I262" s="11" t="n">
        <x:f>COUNTIFS('danh-muc-linh-kien'!$A$2:$A$9,E262)</x:f>
        <x:v>1</x:v>
      </x:c>
    </x:row>
    <x:row r="263" ht="25" customHeight="1">
      <x:c r="A263" s="9" t="str">
        <x:v>TRAM088</x:v>
      </x:c>
      <x:c r="B263" s="9" t="str">
        <x:v>CPU001</x:v>
      </x:c>
      <x:c r="C263" s="9" t="n">
        <x:v>8</x:v>
      </x:c>
      <x:c r="D263" s="10" t="n">
        <x:v>46296</x:v>
      </x:c>
      <x:c r="E263" s="11" t="str">
        <x:f>TRIM(B263)</x:f>
        <x:v>CPU001</x:v>
      </x:c>
      <x:c r="F263" s="11" t="str">
        <x:f>VLOOKUP(E263,'danh-muc-linh-kien'!$A$2:$D$9,2,FALSE)</x:f>
        <x:v>CPU Intel Core i5 12400</x:v>
      </x:c>
      <x:c r="G263" s="12" t="n">
        <x:f>VLOOKUP(E263,'danh-muc-linh-kien'!$A$2:$D$9,3,FALSE)</x:f>
        <x:v>3500000</x:v>
      </x:c>
      <x:c r="H263" s="11" t="str">
        <x:f>VLOOKUP(E263,'danh-muc-linh-kien'!$A$2:$D$9,4,FALSE)</x:f>
        <x:v>Khong ap dung</x:v>
      </x:c>
      <x:c r="I263" s="11" t="n">
        <x:f>COUNTIFS('danh-muc-linh-kien'!$A$2:$A$9,E263)</x:f>
        <x:v>1</x:v>
      </x:c>
    </x:row>
    <x:row r="264" ht="25" customHeight="1">
      <x:c r="A264" s="9" t="str">
        <x:v>TRAM088</x:v>
      </x:c>
      <x:c r="B264" s="9" t="str">
        <x:v>RAM001</x:v>
      </x:c>
      <x:c r="C264" s="9" t="n">
        <x:v>8</x:v>
      </x:c>
      <x:c r="D264" s="10" t="n">
        <x:v>46296</x:v>
      </x:c>
      <x:c r="E264" s="11" t="str">
        <x:f>TRIM(B264)</x:f>
        <x:v>RAM001</x:v>
      </x:c>
      <x:c r="F264" s="11" t="str">
        <x:f>VLOOKUP(E264,'danh-muc-linh-kien'!$A$2:$D$9,2,FALSE)</x:f>
        <x:v>RAM DDR4 8 GB</x:v>
      </x:c>
      <x:c r="G264" s="12" t="n">
        <x:f>VLOOKUP(E264,'danh-muc-linh-kien'!$A$2:$D$9,3,FALSE)</x:f>
        <x:v>450000</x:v>
      </x:c>
      <x:c r="H264" s="11" t="str">
        <x:f>VLOOKUP(E264,'danh-muc-linh-kien'!$A$2:$D$9,4,FALSE)</x:f>
        <x:v>Khong ap dung</x:v>
      </x:c>
      <x:c r="I264" s="11" t="n">
        <x:f>COUNTIFS('danh-muc-linh-kien'!$A$2:$A$9,E264)</x:f>
        <x:v>1</x:v>
      </x:c>
    </x:row>
    <x:row r="265" ht="25" customHeight="1">
      <x:c r="A265" s="9" t="str">
        <x:v>TRAM088</x:v>
      </x:c>
      <x:c r="B265" s="9" t="str">
        <x:v>HDD002</x:v>
      </x:c>
      <x:c r="C265" s="9" t="n">
        <x:v>8</x:v>
      </x:c>
      <x:c r="D265" s="10" t="n">
        <x:v>46296</x:v>
      </x:c>
      <x:c r="E265" s="11" t="str">
        <x:f>TRIM(B265)</x:f>
        <x:v>HDD002</x:v>
      </x:c>
      <x:c r="F265" s="11" t="str">
        <x:f>VLOOKUP(E265,'danh-muc-linh-kien'!$A$2:$D$9,2,FALSE)</x:f>
        <x:v>HDD SATA 2 TB</x:v>
      </x:c>
      <x:c r="G265" s="12" t="n">
        <x:f>VLOOKUP(E265,'danh-muc-linh-kien'!$A$2:$D$9,3,FALSE)</x:f>
        <x:v>1600000</x:v>
      </x:c>
      <x:c r="H265" s="11" t="str">
        <x:f>VLOOKUP(E265,'danh-muc-linh-kien'!$A$2:$D$9,4,FALSE)</x:f>
        <x:v>HDD</x:v>
      </x:c>
      <x:c r="I265" s="11" t="n">
        <x:f>COUNTIFS('danh-muc-linh-kien'!$A$2:$A$9,E265)</x:f>
        <x:v>1</x:v>
      </x:c>
    </x:row>
    <x:row r="266" ht="25" customHeight="1">
      <x:c r="A266" s="9" t="str">
        <x:v>TRAM089</x:v>
      </x:c>
      <x:c r="B266" s="9" t="str">
        <x:v>CPU002</x:v>
      </x:c>
      <x:c r="C266" s="9" t="n">
        <x:v>16</x:v>
      </x:c>
      <x:c r="D266" s="10" t="n">
        <x:v>46296</x:v>
      </x:c>
      <x:c r="E266" s="11" t="str">
        <x:f>TRIM(B266)</x:f>
        <x:v>CPU002</x:v>
      </x:c>
      <x:c r="F266" s="11" t="str">
        <x:f>VLOOKUP(E266,'danh-muc-linh-kien'!$A$2:$D$9,2,FALSE)</x:f>
        <x:v>CPU AMD Ryzen 5 5600</x:v>
      </x:c>
      <x:c r="G266" s="12" t="n">
        <x:f>VLOOKUP(E266,'danh-muc-linh-kien'!$A$2:$D$9,3,FALSE)</x:f>
        <x:v>2800000</x:v>
      </x:c>
      <x:c r="H266" s="11" t="str">
        <x:f>VLOOKUP(E266,'danh-muc-linh-kien'!$A$2:$D$9,4,FALSE)</x:f>
        <x:v>Khong ap dung</x:v>
      </x:c>
      <x:c r="I266" s="11" t="n">
        <x:f>COUNTIFS('danh-muc-linh-kien'!$A$2:$A$9,E266)</x:f>
        <x:v>1</x:v>
      </x:c>
    </x:row>
    <x:row r="267" ht="25" customHeight="1">
      <x:c r="A267" s="9" t="str">
        <x:v>TRAM089</x:v>
      </x:c>
      <x:c r="B267" s="9" t="str">
        <x:v>RAM002</x:v>
      </x:c>
      <x:c r="C267" s="9" t="n">
        <x:v>16</x:v>
      </x:c>
      <x:c r="D267" s="10" t="n">
        <x:v>46296</x:v>
      </x:c>
      <x:c r="E267" s="11" t="str">
        <x:f>TRIM(B267)</x:f>
        <x:v>RAM002</x:v>
      </x:c>
      <x:c r="F267" s="11" t="str">
        <x:f>VLOOKUP(E267,'danh-muc-linh-kien'!$A$2:$D$9,2,FALSE)</x:f>
        <x:v>RAM DDR4 16 GB</x:v>
      </x:c>
      <x:c r="G267" s="12" t="n">
        <x:f>VLOOKUP(E267,'danh-muc-linh-kien'!$A$2:$D$9,3,FALSE)</x:f>
        <x:v>850000</x:v>
      </x:c>
      <x:c r="H267" s="11" t="str">
        <x:f>VLOOKUP(E267,'danh-muc-linh-kien'!$A$2:$D$9,4,FALSE)</x:f>
        <x:v>Khong ap dung</x:v>
      </x:c>
      <x:c r="I267" s="11" t="n">
        <x:f>COUNTIFS('danh-muc-linh-kien'!$A$2:$A$9,E267)</x:f>
        <x:v>1</x:v>
      </x:c>
    </x:row>
    <x:row r="268" ht="25" customHeight="1">
      <x:c r="A268" s="9" t="str">
        <x:v>TRAM089</x:v>
      </x:c>
      <x:c r="B268" s="9" t="str">
        <x:v>SSD001</x:v>
      </x:c>
      <x:c r="C268" s="9" t="n">
        <x:v>16</x:v>
      </x:c>
      <x:c r="D268" s="10" t="n">
        <x:v>46296</x:v>
      </x:c>
      <x:c r="E268" s="11" t="str">
        <x:f>TRIM(B268)</x:f>
        <x:v>SSD001</x:v>
      </x:c>
      <x:c r="F268" s="11" t="str">
        <x:f>VLOOKUP(E268,'danh-muc-linh-kien'!$A$2:$D$9,2,FALSE)</x:f>
        <x:v>SSD SATA 256 GB</x:v>
      </x:c>
      <x:c r="G268" s="12" t="n">
        <x:f>VLOOKUP(E268,'danh-muc-linh-kien'!$A$2:$D$9,3,FALSE)</x:f>
        <x:v>500000</x:v>
      </x:c>
      <x:c r="H268" s="11" t="str">
        <x:f>VLOOKUP(E268,'danh-muc-linh-kien'!$A$2:$D$9,4,FALSE)</x:f>
        <x:v>SSD</x:v>
      </x:c>
      <x:c r="I268" s="11" t="n">
        <x:f>COUNTIFS('danh-muc-linh-kien'!$A$2:$A$9,E268)</x:f>
        <x:v>1</x:v>
      </x:c>
    </x:row>
    <x:row r="269" ht="25" customHeight="1">
      <x:c r="A269" s="9" t="str">
        <x:v>TRAM090</x:v>
      </x:c>
      <x:c r="B269" s="9" t="str">
        <x:v>  CPU001  </x:v>
      </x:c>
      <x:c r="C269" s="9" t="n">
        <x:v>8</x:v>
      </x:c>
      <x:c r="D269" s="10" t="n">
        <x:v>46296</x:v>
      </x:c>
      <x:c r="E269" s="11" t="str">
        <x:f>TRIM(B269)</x:f>
        <x:v>CPU001</x:v>
      </x:c>
      <x:c r="F269" s="11" t="str">
        <x:f>VLOOKUP(E269,'danh-muc-linh-kien'!$A$2:$D$9,2,FALSE)</x:f>
        <x:v>CPU Intel Core i5 12400</x:v>
      </x:c>
      <x:c r="G269" s="12" t="n">
        <x:f>VLOOKUP(E269,'danh-muc-linh-kien'!$A$2:$D$9,3,FALSE)</x:f>
        <x:v>3500000</x:v>
      </x:c>
      <x:c r="H269" s="11" t="str">
        <x:f>VLOOKUP(E269,'danh-muc-linh-kien'!$A$2:$D$9,4,FALSE)</x:f>
        <x:v>Khong ap dung</x:v>
      </x:c>
      <x:c r="I269" s="11" t="n">
        <x:f>COUNTIFS('danh-muc-linh-kien'!$A$2:$A$9,E269)</x:f>
        <x:v>1</x:v>
      </x:c>
    </x:row>
    <x:row r="270" ht="25" customHeight="1">
      <x:c r="A270" s="9" t="str">
        <x:v>TRAM090</x:v>
      </x:c>
      <x:c r="B270" s="9" t="str">
        <x:v>  RAM001  </x:v>
      </x:c>
      <x:c r="C270" s="9" t="n">
        <x:v>8</x:v>
      </x:c>
      <x:c r="D270" s="10" t="n">
        <x:v>46296</x:v>
      </x:c>
      <x:c r="E270" s="11" t="str">
        <x:f>TRIM(B270)</x:f>
        <x:v>RAM001</x:v>
      </x:c>
      <x:c r="F270" s="11" t="str">
        <x:f>VLOOKUP(E270,'danh-muc-linh-kien'!$A$2:$D$9,2,FALSE)</x:f>
        <x:v>RAM DDR4 8 GB</x:v>
      </x:c>
      <x:c r="G270" s="12" t="n">
        <x:f>VLOOKUP(E270,'danh-muc-linh-kien'!$A$2:$D$9,3,FALSE)</x:f>
        <x:v>450000</x:v>
      </x:c>
      <x:c r="H270" s="11" t="str">
        <x:f>VLOOKUP(E270,'danh-muc-linh-kien'!$A$2:$D$9,4,FALSE)</x:f>
        <x:v>Khong ap dung</x:v>
      </x:c>
      <x:c r="I270" s="11" t="n">
        <x:f>COUNTIFS('danh-muc-linh-kien'!$A$2:$A$9,E270)</x:f>
        <x:v>1</x:v>
      </x:c>
    </x:row>
    <x:row r="271" ht="25" customHeight="1">
      <x:c r="A271" s="9" t="str">
        <x:v>TRAM090</x:v>
      </x:c>
      <x:c r="B271" s="9" t="str">
        <x:v>  SSD002  </x:v>
      </x:c>
      <x:c r="C271" s="9" t="n">
        <x:v>8</x:v>
      </x:c>
      <x:c r="D271" s="10" t="n">
        <x:v>46296</x:v>
      </x:c>
      <x:c r="E271" s="11" t="str">
        <x:f>TRIM(B271)</x:f>
        <x:v>SSD002</x:v>
      </x:c>
      <x:c r="F271" s="11" t="str">
        <x:f>VLOOKUP(E271,'danh-muc-linh-kien'!$A$2:$D$9,2,FALSE)</x:f>
        <x:v>SSD NVMe 512 GB</x:v>
      </x:c>
      <x:c r="G271" s="12" t="n">
        <x:f>VLOOKUP(E271,'danh-muc-linh-kien'!$A$2:$D$9,3,FALSE)</x:f>
        <x:v>900000</x:v>
      </x:c>
      <x:c r="H271" s="11" t="str">
        <x:f>VLOOKUP(E271,'danh-muc-linh-kien'!$A$2:$D$9,4,FALSE)</x:f>
        <x:v>SSD</x:v>
      </x:c>
      <x:c r="I271" s="11" t="n">
        <x:f>COUNTIFS('danh-muc-linh-kien'!$A$2:$A$9,E271)</x:f>
        <x:v>1</x:v>
      </x:c>
    </x:row>
    <x:row r="272" ht="25" customHeight="1">
      <x:c r="A272" s="9" t="str">
        <x:v>TRAM091</x:v>
      </x:c>
      <x:c r="B272" s="9" t="str">
        <x:v>CPU002</x:v>
      </x:c>
      <x:c r="C272" s="9" t="n">
        <x:v>16</x:v>
      </x:c>
      <x:c r="D272" s="10" t="n">
        <x:v>46296</x:v>
      </x:c>
      <x:c r="E272" s="11" t="str">
        <x:f>TRIM(B272)</x:f>
        <x:v>CPU002</x:v>
      </x:c>
      <x:c r="F272" s="11" t="str">
        <x:f>VLOOKUP(E272,'danh-muc-linh-kien'!$A$2:$D$9,2,FALSE)</x:f>
        <x:v>CPU AMD Ryzen 5 5600</x:v>
      </x:c>
      <x:c r="G272" s="12" t="n">
        <x:f>VLOOKUP(E272,'danh-muc-linh-kien'!$A$2:$D$9,3,FALSE)</x:f>
        <x:v>2800000</x:v>
      </x:c>
      <x:c r="H272" s="11" t="str">
        <x:f>VLOOKUP(E272,'danh-muc-linh-kien'!$A$2:$D$9,4,FALSE)</x:f>
        <x:v>Khong ap dung</x:v>
      </x:c>
      <x:c r="I272" s="11" t="n">
        <x:f>COUNTIFS('danh-muc-linh-kien'!$A$2:$A$9,E272)</x:f>
        <x:v>1</x:v>
      </x:c>
    </x:row>
    <x:row r="273" ht="25" customHeight="1">
      <x:c r="A273" s="9" t="str">
        <x:v>TRAM091</x:v>
      </x:c>
      <x:c r="B273" s="9" t="str">
        <x:v>RAM002</x:v>
      </x:c>
      <x:c r="C273" s="9" t="n">
        <x:v>16</x:v>
      </x:c>
      <x:c r="D273" s="10" t="n">
        <x:v>46296</x:v>
      </x:c>
      <x:c r="E273" s="11" t="str">
        <x:f>TRIM(B273)</x:f>
        <x:v>RAM002</x:v>
      </x:c>
      <x:c r="F273" s="11" t="str">
        <x:f>VLOOKUP(E273,'danh-muc-linh-kien'!$A$2:$D$9,2,FALSE)</x:f>
        <x:v>RAM DDR4 16 GB</x:v>
      </x:c>
      <x:c r="G273" s="12" t="n">
        <x:f>VLOOKUP(E273,'danh-muc-linh-kien'!$A$2:$D$9,3,FALSE)</x:f>
        <x:v>850000</x:v>
      </x:c>
      <x:c r="H273" s="11" t="str">
        <x:f>VLOOKUP(E273,'danh-muc-linh-kien'!$A$2:$D$9,4,FALSE)</x:f>
        <x:v>Khong ap dung</x:v>
      </x:c>
      <x:c r="I273" s="11" t="n">
        <x:f>COUNTIFS('danh-muc-linh-kien'!$A$2:$A$9,E273)</x:f>
        <x:v>1</x:v>
      </x:c>
    </x:row>
    <x:row r="274" ht="25" customHeight="1">
      <x:c r="A274" s="9" t="str">
        <x:v>TRAM091</x:v>
      </x:c>
      <x:c r="B274" s="9" t="str">
        <x:v>HDD001</x:v>
      </x:c>
      <x:c r="C274" s="9" t="n">
        <x:v>16</x:v>
      </x:c>
      <x:c r="D274" s="10" t="n">
        <x:v>46296</x:v>
      </x:c>
      <x:c r="E274" s="11" t="str">
        <x:f>TRIM(B274)</x:f>
        <x:v>HDD001</x:v>
      </x:c>
      <x:c r="F274" s="11" t="str">
        <x:f>VLOOKUP(E274,'danh-muc-linh-kien'!$A$2:$D$9,2,FALSE)</x:f>
        <x:v>HDD SATA 1 TB</x:v>
      </x:c>
      <x:c r="G274" s="12" t="n">
        <x:f>VLOOKUP(E274,'danh-muc-linh-kien'!$A$2:$D$9,3,FALSE)</x:f>
        <x:v>1100000</x:v>
      </x:c>
      <x:c r="H274" s="11" t="str">
        <x:f>VLOOKUP(E274,'danh-muc-linh-kien'!$A$2:$D$9,4,FALSE)</x:f>
        <x:v>HDD</x:v>
      </x:c>
      <x:c r="I274" s="11" t="n">
        <x:f>COUNTIFS('danh-muc-linh-kien'!$A$2:$A$9,E274)</x:f>
        <x:v>1</x:v>
      </x:c>
    </x:row>
    <x:row r="275" ht="25" customHeight="1">
      <x:c r="A275" s="9" t="str">
        <x:v>TRAM092</x:v>
      </x:c>
      <x:c r="B275" s="9" t="str">
        <x:v>CPU001</x:v>
      </x:c>
      <x:c r="C275" s="9" t="n">
        <x:v>8</x:v>
      </x:c>
      <x:c r="D275" s="10" t="n">
        <x:v>46296</x:v>
      </x:c>
      <x:c r="E275" s="11" t="str">
        <x:f>TRIM(B275)</x:f>
        <x:v>CPU001</x:v>
      </x:c>
      <x:c r="F275" s="11" t="str">
        <x:f>VLOOKUP(E275,'danh-muc-linh-kien'!$A$2:$D$9,2,FALSE)</x:f>
        <x:v>CPU Intel Core i5 12400</x:v>
      </x:c>
      <x:c r="G275" s="12" t="n">
        <x:f>VLOOKUP(E275,'danh-muc-linh-kien'!$A$2:$D$9,3,FALSE)</x:f>
        <x:v>3500000</x:v>
      </x:c>
      <x:c r="H275" s="11" t="str">
        <x:f>VLOOKUP(E275,'danh-muc-linh-kien'!$A$2:$D$9,4,FALSE)</x:f>
        <x:v>Khong ap dung</x:v>
      </x:c>
      <x:c r="I275" s="11" t="n">
        <x:f>COUNTIFS('danh-muc-linh-kien'!$A$2:$A$9,E275)</x:f>
        <x:v>1</x:v>
      </x:c>
    </x:row>
    <x:row r="276" ht="25" customHeight="1">
      <x:c r="A276" s="9" t="str">
        <x:v>TRAM092</x:v>
      </x:c>
      <x:c r="B276" s="9" t="str">
        <x:v>RAM001</x:v>
      </x:c>
      <x:c r="C276" s="9" t="n">
        <x:v>8</x:v>
      </x:c>
      <x:c r="D276" s="10" t="n">
        <x:v>46296</x:v>
      </x:c>
      <x:c r="E276" s="11" t="str">
        <x:f>TRIM(B276)</x:f>
        <x:v>RAM001</x:v>
      </x:c>
      <x:c r="F276" s="11" t="str">
        <x:f>VLOOKUP(E276,'danh-muc-linh-kien'!$A$2:$D$9,2,FALSE)</x:f>
        <x:v>RAM DDR4 8 GB</x:v>
      </x:c>
      <x:c r="G276" s="12" t="n">
        <x:f>VLOOKUP(E276,'danh-muc-linh-kien'!$A$2:$D$9,3,FALSE)</x:f>
        <x:v>450000</x:v>
      </x:c>
      <x:c r="H276" s="11" t="str">
        <x:f>VLOOKUP(E276,'danh-muc-linh-kien'!$A$2:$D$9,4,FALSE)</x:f>
        <x:v>Khong ap dung</x:v>
      </x:c>
      <x:c r="I276" s="11" t="n">
        <x:f>COUNTIFS('danh-muc-linh-kien'!$A$2:$A$9,E276)</x:f>
        <x:v>1</x:v>
      </x:c>
    </x:row>
    <x:row r="277" ht="25" customHeight="1">
      <x:c r="A277" s="9" t="str">
        <x:v>TRAM092</x:v>
      </x:c>
      <x:c r="B277" s="9" t="str">
        <x:v>HDD002</x:v>
      </x:c>
      <x:c r="C277" s="9" t="n">
        <x:v>8</x:v>
      </x:c>
      <x:c r="D277" s="10" t="n">
        <x:v>46296</x:v>
      </x:c>
      <x:c r="E277" s="11" t="str">
        <x:f>TRIM(B277)</x:f>
        <x:v>HDD002</x:v>
      </x:c>
      <x:c r="F277" s="11" t="str">
        <x:f>VLOOKUP(E277,'danh-muc-linh-kien'!$A$2:$D$9,2,FALSE)</x:f>
        <x:v>HDD SATA 2 TB</x:v>
      </x:c>
      <x:c r="G277" s="12" t="n">
        <x:f>VLOOKUP(E277,'danh-muc-linh-kien'!$A$2:$D$9,3,FALSE)</x:f>
        <x:v>1600000</x:v>
      </x:c>
      <x:c r="H277" s="11" t="str">
        <x:f>VLOOKUP(E277,'danh-muc-linh-kien'!$A$2:$D$9,4,FALSE)</x:f>
        <x:v>HDD</x:v>
      </x:c>
      <x:c r="I277" s="11" t="n">
        <x:f>COUNTIFS('danh-muc-linh-kien'!$A$2:$A$9,E277)</x:f>
        <x:v>1</x:v>
      </x:c>
    </x:row>
    <x:row r="278" ht="25" customHeight="1">
      <x:c r="A278" s="9" t="str">
        <x:v>TRAM093</x:v>
      </x:c>
      <x:c r="B278" s="9" t="str">
        <x:v>CPU002</x:v>
      </x:c>
      <x:c r="C278" s="9" t="n">
        <x:v>16</x:v>
      </x:c>
      <x:c r="D278" s="10" t="n">
        <x:v>46296</x:v>
      </x:c>
      <x:c r="E278" s="11" t="str">
        <x:f>TRIM(B278)</x:f>
        <x:v>CPU002</x:v>
      </x:c>
      <x:c r="F278" s="11" t="str">
        <x:f>VLOOKUP(E278,'danh-muc-linh-kien'!$A$2:$D$9,2,FALSE)</x:f>
        <x:v>CPU AMD Ryzen 5 5600</x:v>
      </x:c>
      <x:c r="G278" s="12" t="n">
        <x:f>VLOOKUP(E278,'danh-muc-linh-kien'!$A$2:$D$9,3,FALSE)</x:f>
        <x:v>2800000</x:v>
      </x:c>
      <x:c r="H278" s="11" t="str">
        <x:f>VLOOKUP(E278,'danh-muc-linh-kien'!$A$2:$D$9,4,FALSE)</x:f>
        <x:v>Khong ap dung</x:v>
      </x:c>
      <x:c r="I278" s="11" t="n">
        <x:f>COUNTIFS('danh-muc-linh-kien'!$A$2:$A$9,E278)</x:f>
        <x:v>1</x:v>
      </x:c>
    </x:row>
    <x:row r="279" ht="25" customHeight="1">
      <x:c r="A279" s="9" t="str">
        <x:v>TRAM093</x:v>
      </x:c>
      <x:c r="B279" s="9" t="str">
        <x:v>RAM002</x:v>
      </x:c>
      <x:c r="C279" s="9" t="n">
        <x:v>16</x:v>
      </x:c>
      <x:c r="D279" s="10" t="n">
        <x:v>46296</x:v>
      </x:c>
      <x:c r="E279" s="11" t="str">
        <x:f>TRIM(B279)</x:f>
        <x:v>RAM002</x:v>
      </x:c>
      <x:c r="F279" s="11" t="str">
        <x:f>VLOOKUP(E279,'danh-muc-linh-kien'!$A$2:$D$9,2,FALSE)</x:f>
        <x:v>RAM DDR4 16 GB</x:v>
      </x:c>
      <x:c r="G279" s="12" t="n">
        <x:f>VLOOKUP(E279,'danh-muc-linh-kien'!$A$2:$D$9,3,FALSE)</x:f>
        <x:v>850000</x:v>
      </x:c>
      <x:c r="H279" s="11" t="str">
        <x:f>VLOOKUP(E279,'danh-muc-linh-kien'!$A$2:$D$9,4,FALSE)</x:f>
        <x:v>Khong ap dung</x:v>
      </x:c>
      <x:c r="I279" s="11" t="n">
        <x:f>COUNTIFS('danh-muc-linh-kien'!$A$2:$A$9,E279)</x:f>
        <x:v>1</x:v>
      </x:c>
    </x:row>
    <x:row r="280" ht="25" customHeight="1">
      <x:c r="A280" s="9" t="str">
        <x:v>TRAM093</x:v>
      </x:c>
      <x:c r="B280" s="9" t="str">
        <x:v>SSD001</x:v>
      </x:c>
      <x:c r="C280" s="9" t="n">
        <x:v>16</x:v>
      </x:c>
      <x:c r="D280" s="10" t="n">
        <x:v>46296</x:v>
      </x:c>
      <x:c r="E280" s="11" t="str">
        <x:f>TRIM(B280)</x:f>
        <x:v>SSD001</x:v>
      </x:c>
      <x:c r="F280" s="11" t="str">
        <x:f>VLOOKUP(E280,'danh-muc-linh-kien'!$A$2:$D$9,2,FALSE)</x:f>
        <x:v>SSD SATA 256 GB</x:v>
      </x:c>
      <x:c r="G280" s="12" t="n">
        <x:f>VLOOKUP(E280,'danh-muc-linh-kien'!$A$2:$D$9,3,FALSE)</x:f>
        <x:v>500000</x:v>
      </x:c>
      <x:c r="H280" s="11" t="str">
        <x:f>VLOOKUP(E280,'danh-muc-linh-kien'!$A$2:$D$9,4,FALSE)</x:f>
        <x:v>SSD</x:v>
      </x:c>
      <x:c r="I280" s="11" t="n">
        <x:f>COUNTIFS('danh-muc-linh-kien'!$A$2:$A$9,E280)</x:f>
        <x:v>1</x:v>
      </x:c>
    </x:row>
    <x:row r="281" ht="25" customHeight="1">
      <x:c r="A281" s="9" t="str">
        <x:v>TRAM094</x:v>
      </x:c>
      <x:c r="B281" s="9" t="str">
        <x:v>CPU001</x:v>
      </x:c>
      <x:c r="C281" s="9" t="n">
        <x:v>8</x:v>
      </x:c>
      <x:c r="D281" s="10" t="n">
        <x:v>46296</x:v>
      </x:c>
      <x:c r="E281" s="11" t="str">
        <x:f>TRIM(B281)</x:f>
        <x:v>CPU001</x:v>
      </x:c>
      <x:c r="F281" s="11" t="str">
        <x:f>VLOOKUP(E281,'danh-muc-linh-kien'!$A$2:$D$9,2,FALSE)</x:f>
        <x:v>CPU Intel Core i5 12400</x:v>
      </x:c>
      <x:c r="G281" s="12" t="n">
        <x:f>VLOOKUP(E281,'danh-muc-linh-kien'!$A$2:$D$9,3,FALSE)</x:f>
        <x:v>3500000</x:v>
      </x:c>
      <x:c r="H281" s="11" t="str">
        <x:f>VLOOKUP(E281,'danh-muc-linh-kien'!$A$2:$D$9,4,FALSE)</x:f>
        <x:v>Khong ap dung</x:v>
      </x:c>
      <x:c r="I281" s="11" t="n">
        <x:f>COUNTIFS('danh-muc-linh-kien'!$A$2:$A$9,E281)</x:f>
        <x:v>1</x:v>
      </x:c>
    </x:row>
    <x:row r="282" ht="25" customHeight="1">
      <x:c r="A282" s="9" t="str">
        <x:v>TRAM094</x:v>
      </x:c>
      <x:c r="B282" s="9" t="str">
        <x:v>RAM001</x:v>
      </x:c>
      <x:c r="C282" s="9" t="n">
        <x:v>8</x:v>
      </x:c>
      <x:c r="D282" s="10" t="n">
        <x:v>46296</x:v>
      </x:c>
      <x:c r="E282" s="11" t="str">
        <x:f>TRIM(B282)</x:f>
        <x:v>RAM001</x:v>
      </x:c>
      <x:c r="F282" s="11" t="str">
        <x:f>VLOOKUP(E282,'danh-muc-linh-kien'!$A$2:$D$9,2,FALSE)</x:f>
        <x:v>RAM DDR4 8 GB</x:v>
      </x:c>
      <x:c r="G282" s="12" t="n">
        <x:f>VLOOKUP(E282,'danh-muc-linh-kien'!$A$2:$D$9,3,FALSE)</x:f>
        <x:v>450000</x:v>
      </x:c>
      <x:c r="H282" s="11" t="str">
        <x:f>VLOOKUP(E282,'danh-muc-linh-kien'!$A$2:$D$9,4,FALSE)</x:f>
        <x:v>Khong ap dung</x:v>
      </x:c>
      <x:c r="I282" s="11" t="n">
        <x:f>COUNTIFS('danh-muc-linh-kien'!$A$2:$A$9,E282)</x:f>
        <x:v>1</x:v>
      </x:c>
    </x:row>
    <x:row r="283" ht="25" customHeight="1">
      <x:c r="A283" s="9" t="str">
        <x:v>TRAM094</x:v>
      </x:c>
      <x:c r="B283" s="9" t="str">
        <x:v>SSD002</x:v>
      </x:c>
      <x:c r="C283" s="9" t="n">
        <x:v>8</x:v>
      </x:c>
      <x:c r="D283" s="10" t="n">
        <x:v>46296</x:v>
      </x:c>
      <x:c r="E283" s="11" t="str">
        <x:f>TRIM(B283)</x:f>
        <x:v>SSD002</x:v>
      </x:c>
      <x:c r="F283" s="11" t="str">
        <x:f>VLOOKUP(E283,'danh-muc-linh-kien'!$A$2:$D$9,2,FALSE)</x:f>
        <x:v>SSD NVMe 512 GB</x:v>
      </x:c>
      <x:c r="G283" s="12" t="n">
        <x:f>VLOOKUP(E283,'danh-muc-linh-kien'!$A$2:$D$9,3,FALSE)</x:f>
        <x:v>900000</x:v>
      </x:c>
      <x:c r="H283" s="11" t="str">
        <x:f>VLOOKUP(E283,'danh-muc-linh-kien'!$A$2:$D$9,4,FALSE)</x:f>
        <x:v>SSD</x:v>
      </x:c>
      <x:c r="I283" s="11" t="n">
        <x:f>COUNTIFS('danh-muc-linh-kien'!$A$2:$A$9,E283)</x:f>
        <x:v>1</x:v>
      </x:c>
    </x:row>
    <x:row r="284" ht="25" customHeight="1">
      <x:c r="A284" s="9" t="str">
        <x:v>TRAM095</x:v>
      </x:c>
      <x:c r="B284" s="9" t="str">
        <x:v>CPU002</x:v>
      </x:c>
      <x:c r="C284" s="9" t="n">
        <x:v>16</x:v>
      </x:c>
      <x:c r="D284" s="10" t="n">
        <x:v>46296</x:v>
      </x:c>
      <x:c r="E284" s="11" t="str">
        <x:f>TRIM(B284)</x:f>
        <x:v>CPU002</x:v>
      </x:c>
      <x:c r="F284" s="11" t="str">
        <x:f>VLOOKUP(E284,'danh-muc-linh-kien'!$A$2:$D$9,2,FALSE)</x:f>
        <x:v>CPU AMD Ryzen 5 5600</x:v>
      </x:c>
      <x:c r="G284" s="12" t="n">
        <x:f>VLOOKUP(E284,'danh-muc-linh-kien'!$A$2:$D$9,3,FALSE)</x:f>
        <x:v>2800000</x:v>
      </x:c>
      <x:c r="H284" s="11" t="str">
        <x:f>VLOOKUP(E284,'danh-muc-linh-kien'!$A$2:$D$9,4,FALSE)</x:f>
        <x:v>Khong ap dung</x:v>
      </x:c>
      <x:c r="I284" s="11" t="n">
        <x:f>COUNTIFS('danh-muc-linh-kien'!$A$2:$A$9,E284)</x:f>
        <x:v>1</x:v>
      </x:c>
    </x:row>
    <x:row r="285" ht="25" customHeight="1">
      <x:c r="A285" s="9" t="str">
        <x:v>TRAM095</x:v>
      </x:c>
      <x:c r="B285" s="9" t="str">
        <x:v>RAM002</x:v>
      </x:c>
      <x:c r="C285" s="9" t="n">
        <x:v>16</x:v>
      </x:c>
      <x:c r="D285" s="10" t="n">
        <x:v>46296</x:v>
      </x:c>
      <x:c r="E285" s="11" t="str">
        <x:f>TRIM(B285)</x:f>
        <x:v>RAM002</x:v>
      </x:c>
      <x:c r="F285" s="11" t="str">
        <x:f>VLOOKUP(E285,'danh-muc-linh-kien'!$A$2:$D$9,2,FALSE)</x:f>
        <x:v>RAM DDR4 16 GB</x:v>
      </x:c>
      <x:c r="G285" s="12" t="n">
        <x:f>VLOOKUP(E285,'danh-muc-linh-kien'!$A$2:$D$9,3,FALSE)</x:f>
        <x:v>850000</x:v>
      </x:c>
      <x:c r="H285" s="11" t="str">
        <x:f>VLOOKUP(E285,'danh-muc-linh-kien'!$A$2:$D$9,4,FALSE)</x:f>
        <x:v>Khong ap dung</x:v>
      </x:c>
      <x:c r="I285" s="11" t="n">
        <x:f>COUNTIFS('danh-muc-linh-kien'!$A$2:$A$9,E285)</x:f>
        <x:v>1</x:v>
      </x:c>
    </x:row>
    <x:row r="286" ht="25" customHeight="1">
      <x:c r="A286" s="9" t="str">
        <x:v>TRAM095</x:v>
      </x:c>
      <x:c r="B286" s="9" t="str">
        <x:v>HDD001</x:v>
      </x:c>
      <x:c r="C286" s="9" t="n">
        <x:v>16</x:v>
      </x:c>
      <x:c r="D286" s="10" t="n">
        <x:v>46296</x:v>
      </x:c>
      <x:c r="E286" s="11" t="str">
        <x:f>TRIM(B286)</x:f>
        <x:v>HDD001</x:v>
      </x:c>
      <x:c r="F286" s="11" t="str">
        <x:f>VLOOKUP(E286,'danh-muc-linh-kien'!$A$2:$D$9,2,FALSE)</x:f>
        <x:v>HDD SATA 1 TB</x:v>
      </x:c>
      <x:c r="G286" s="12" t="n">
        <x:f>VLOOKUP(E286,'danh-muc-linh-kien'!$A$2:$D$9,3,FALSE)</x:f>
        <x:v>1100000</x:v>
      </x:c>
      <x:c r="H286" s="11" t="str">
        <x:f>VLOOKUP(E286,'danh-muc-linh-kien'!$A$2:$D$9,4,FALSE)</x:f>
        <x:v>HDD</x:v>
      </x:c>
      <x:c r="I286" s="11" t="n">
        <x:f>COUNTIFS('danh-muc-linh-kien'!$A$2:$A$9,E286)</x:f>
        <x:v>1</x:v>
      </x:c>
    </x:row>
    <x:row r="287" ht="25" customHeight="1">
      <x:c r="A287" s="9" t="str">
        <x:v>TRAM096</x:v>
      </x:c>
      <x:c r="B287" s="9" t="str">
        <x:v>CPU001</x:v>
      </x:c>
      <x:c r="C287" s="9" t="n">
        <x:v>8</x:v>
      </x:c>
      <x:c r="D287" s="10" t="n">
        <x:v>46296</x:v>
      </x:c>
      <x:c r="E287" s="11" t="str">
        <x:f>TRIM(B287)</x:f>
        <x:v>CPU001</x:v>
      </x:c>
      <x:c r="F287" s="11" t="str">
        <x:f>VLOOKUP(E287,'danh-muc-linh-kien'!$A$2:$D$9,2,FALSE)</x:f>
        <x:v>CPU Intel Core i5 12400</x:v>
      </x:c>
      <x:c r="G287" s="12" t="n">
        <x:f>VLOOKUP(E287,'danh-muc-linh-kien'!$A$2:$D$9,3,FALSE)</x:f>
        <x:v>3500000</x:v>
      </x:c>
      <x:c r="H287" s="11" t="str">
        <x:f>VLOOKUP(E287,'danh-muc-linh-kien'!$A$2:$D$9,4,FALSE)</x:f>
        <x:v>Khong ap dung</x:v>
      </x:c>
      <x:c r="I287" s="11" t="n">
        <x:f>COUNTIFS('danh-muc-linh-kien'!$A$2:$A$9,E287)</x:f>
        <x:v>1</x:v>
      </x:c>
    </x:row>
    <x:row r="288" ht="25" customHeight="1">
      <x:c r="A288" s="9" t="str">
        <x:v>TRAM096</x:v>
      </x:c>
      <x:c r="B288" s="9" t="str">
        <x:v>RAM001</x:v>
      </x:c>
      <x:c r="C288" s="9" t="n">
        <x:v>8</x:v>
      </x:c>
      <x:c r="D288" s="10" t="n">
        <x:v>46296</x:v>
      </x:c>
      <x:c r="E288" s="11" t="str">
        <x:f>TRIM(B288)</x:f>
        <x:v>RAM001</x:v>
      </x:c>
      <x:c r="F288" s="11" t="str">
        <x:f>VLOOKUP(E288,'danh-muc-linh-kien'!$A$2:$D$9,2,FALSE)</x:f>
        <x:v>RAM DDR4 8 GB</x:v>
      </x:c>
      <x:c r="G288" s="12" t="n">
        <x:f>VLOOKUP(E288,'danh-muc-linh-kien'!$A$2:$D$9,3,FALSE)</x:f>
        <x:v>450000</x:v>
      </x:c>
      <x:c r="H288" s="11" t="str">
        <x:f>VLOOKUP(E288,'danh-muc-linh-kien'!$A$2:$D$9,4,FALSE)</x:f>
        <x:v>Khong ap dung</x:v>
      </x:c>
      <x:c r="I288" s="11" t="n">
        <x:f>COUNTIFS('danh-muc-linh-kien'!$A$2:$A$9,E288)</x:f>
        <x:v>1</x:v>
      </x:c>
    </x:row>
    <x:row r="289" ht="25" customHeight="1">
      <x:c r="A289" s="9" t="str">
        <x:v>TRAM096</x:v>
      </x:c>
      <x:c r="B289" s="9" t="str">
        <x:v>HDD002</x:v>
      </x:c>
      <x:c r="C289" s="9" t="n">
        <x:v>8</x:v>
      </x:c>
      <x:c r="D289" s="10" t="n">
        <x:v>46296</x:v>
      </x:c>
      <x:c r="E289" s="11" t="str">
        <x:f>TRIM(B289)</x:f>
        <x:v>HDD002</x:v>
      </x:c>
      <x:c r="F289" s="11" t="str">
        <x:f>VLOOKUP(E289,'danh-muc-linh-kien'!$A$2:$D$9,2,FALSE)</x:f>
        <x:v>HDD SATA 2 TB</x:v>
      </x:c>
      <x:c r="G289" s="12" t="n">
        <x:f>VLOOKUP(E289,'danh-muc-linh-kien'!$A$2:$D$9,3,FALSE)</x:f>
        <x:v>1600000</x:v>
      </x:c>
      <x:c r="H289" s="11" t="str">
        <x:f>VLOOKUP(E289,'danh-muc-linh-kien'!$A$2:$D$9,4,FALSE)</x:f>
        <x:v>HDD</x:v>
      </x:c>
      <x:c r="I289" s="11" t="n">
        <x:f>COUNTIFS('danh-muc-linh-kien'!$A$2:$A$9,E289)</x:f>
        <x:v>1</x:v>
      </x:c>
    </x:row>
    <x:row r="290" ht="25" customHeight="1">
      <x:c r="A290" s="9" t="str">
        <x:v>TRAM097</x:v>
      </x:c>
      <x:c r="B290" s="9" t="str">
        <x:v>CPU002</x:v>
      </x:c>
      <x:c r="C290" s="9" t="n">
        <x:v>16</x:v>
      </x:c>
      <x:c r="D290" s="10" t="n">
        <x:v>46296</x:v>
      </x:c>
      <x:c r="E290" s="11" t="str">
        <x:f>TRIM(B290)</x:f>
        <x:v>CPU002</x:v>
      </x:c>
      <x:c r="F290" s="11" t="str">
        <x:f>VLOOKUP(E290,'danh-muc-linh-kien'!$A$2:$D$9,2,FALSE)</x:f>
        <x:v>CPU AMD Ryzen 5 5600</x:v>
      </x:c>
      <x:c r="G290" s="12" t="n">
        <x:f>VLOOKUP(E290,'danh-muc-linh-kien'!$A$2:$D$9,3,FALSE)</x:f>
        <x:v>2800000</x:v>
      </x:c>
      <x:c r="H290" s="11" t="str">
        <x:f>VLOOKUP(E290,'danh-muc-linh-kien'!$A$2:$D$9,4,FALSE)</x:f>
        <x:v>Khong ap dung</x:v>
      </x:c>
      <x:c r="I290" s="11" t="n">
        <x:f>COUNTIFS('danh-muc-linh-kien'!$A$2:$A$9,E290)</x:f>
        <x:v>1</x:v>
      </x:c>
    </x:row>
    <x:row r="291" ht="25" customHeight="1">
      <x:c r="A291" s="9" t="str">
        <x:v>TRAM097</x:v>
      </x:c>
      <x:c r="B291" s="9" t="str">
        <x:v>RAM002</x:v>
      </x:c>
      <x:c r="C291" s="9" t="n">
        <x:v>16</x:v>
      </x:c>
      <x:c r="D291" s="10" t="n">
        <x:v>46296</x:v>
      </x:c>
      <x:c r="E291" s="11" t="str">
        <x:f>TRIM(B291)</x:f>
        <x:v>RAM002</x:v>
      </x:c>
      <x:c r="F291" s="11" t="str">
        <x:f>VLOOKUP(E291,'danh-muc-linh-kien'!$A$2:$D$9,2,FALSE)</x:f>
        <x:v>RAM DDR4 16 GB</x:v>
      </x:c>
      <x:c r="G291" s="12" t="n">
        <x:f>VLOOKUP(E291,'danh-muc-linh-kien'!$A$2:$D$9,3,FALSE)</x:f>
        <x:v>850000</x:v>
      </x:c>
      <x:c r="H291" s="11" t="str">
        <x:f>VLOOKUP(E291,'danh-muc-linh-kien'!$A$2:$D$9,4,FALSE)</x:f>
        <x:v>Khong ap dung</x:v>
      </x:c>
      <x:c r="I291" s="11" t="n">
        <x:f>COUNTIFS('danh-muc-linh-kien'!$A$2:$A$9,E291)</x:f>
        <x:v>1</x:v>
      </x:c>
    </x:row>
    <x:row r="292" ht="25" customHeight="1">
      <x:c r="A292" s="9" t="str">
        <x:v>TRAM097</x:v>
      </x:c>
      <x:c r="B292" s="9" t="str">
        <x:v>SSD001</x:v>
      </x:c>
      <x:c r="C292" s="9" t="n">
        <x:v>16</x:v>
      </x:c>
      <x:c r="D292" s="10" t="n">
        <x:v>46296</x:v>
      </x:c>
      <x:c r="E292" s="11" t="str">
        <x:f>TRIM(B292)</x:f>
        <x:v>SSD001</x:v>
      </x:c>
      <x:c r="F292" s="11" t="str">
        <x:f>VLOOKUP(E292,'danh-muc-linh-kien'!$A$2:$D$9,2,FALSE)</x:f>
        <x:v>SSD SATA 256 GB</x:v>
      </x:c>
      <x:c r="G292" s="12" t="n">
        <x:f>VLOOKUP(E292,'danh-muc-linh-kien'!$A$2:$D$9,3,FALSE)</x:f>
        <x:v>500000</x:v>
      </x:c>
      <x:c r="H292" s="11" t="str">
        <x:f>VLOOKUP(E292,'danh-muc-linh-kien'!$A$2:$D$9,4,FALSE)</x:f>
        <x:v>SSD</x:v>
      </x:c>
      <x:c r="I292" s="11" t="n">
        <x:f>COUNTIFS('danh-muc-linh-kien'!$A$2:$A$9,E292)</x:f>
        <x:v>1</x:v>
      </x:c>
    </x:row>
    <x:row r="293" ht="25" customHeight="1">
      <x:c r="A293" s="9" t="str">
        <x:v>TRAM098</x:v>
      </x:c>
      <x:c r="B293" s="9" t="str">
        <x:v>CPU001</x:v>
      </x:c>
      <x:c r="C293" s="9" t="n">
        <x:v>8</x:v>
      </x:c>
      <x:c r="D293" s="10" t="n">
        <x:v>46296</x:v>
      </x:c>
      <x:c r="E293" s="11" t="str">
        <x:f>TRIM(B293)</x:f>
        <x:v>CPU001</x:v>
      </x:c>
      <x:c r="F293" s="11" t="str">
        <x:f>VLOOKUP(E293,'danh-muc-linh-kien'!$A$2:$D$9,2,FALSE)</x:f>
        <x:v>CPU Intel Core i5 12400</x:v>
      </x:c>
      <x:c r="G293" s="12" t="n">
        <x:f>VLOOKUP(E293,'danh-muc-linh-kien'!$A$2:$D$9,3,FALSE)</x:f>
        <x:v>3500000</x:v>
      </x:c>
      <x:c r="H293" s="11" t="str">
        <x:f>VLOOKUP(E293,'danh-muc-linh-kien'!$A$2:$D$9,4,FALSE)</x:f>
        <x:v>Khong ap dung</x:v>
      </x:c>
      <x:c r="I293" s="11" t="n">
        <x:f>COUNTIFS('danh-muc-linh-kien'!$A$2:$A$9,E293)</x:f>
        <x:v>1</x:v>
      </x:c>
    </x:row>
    <x:row r="294" ht="25" customHeight="1">
      <x:c r="A294" s="9" t="str">
        <x:v>TRAM098</x:v>
      </x:c>
      <x:c r="B294" s="9" t="str">
        <x:v>RAM001</x:v>
      </x:c>
      <x:c r="C294" s="9" t="n">
        <x:v>8</x:v>
      </x:c>
      <x:c r="D294" s="10" t="n">
        <x:v>46296</x:v>
      </x:c>
      <x:c r="E294" s="11" t="str">
        <x:f>TRIM(B294)</x:f>
        <x:v>RAM001</x:v>
      </x:c>
      <x:c r="F294" s="11" t="str">
        <x:f>VLOOKUP(E294,'danh-muc-linh-kien'!$A$2:$D$9,2,FALSE)</x:f>
        <x:v>RAM DDR4 8 GB</x:v>
      </x:c>
      <x:c r="G294" s="12" t="n">
        <x:f>VLOOKUP(E294,'danh-muc-linh-kien'!$A$2:$D$9,3,FALSE)</x:f>
        <x:v>450000</x:v>
      </x:c>
      <x:c r="H294" s="11" t="str">
        <x:f>VLOOKUP(E294,'danh-muc-linh-kien'!$A$2:$D$9,4,FALSE)</x:f>
        <x:v>Khong ap dung</x:v>
      </x:c>
      <x:c r="I294" s="11" t="n">
        <x:f>COUNTIFS('danh-muc-linh-kien'!$A$2:$A$9,E294)</x:f>
        <x:v>1</x:v>
      </x:c>
    </x:row>
    <x:row r="295" ht="25" customHeight="1">
      <x:c r="A295" s="9" t="str">
        <x:v>TRAM098</x:v>
      </x:c>
      <x:c r="B295" s="9" t="str">
        <x:v>SSD002</x:v>
      </x:c>
      <x:c r="C295" s="9" t="n">
        <x:v>8</x:v>
      </x:c>
      <x:c r="D295" s="10" t="n">
        <x:v>46296</x:v>
      </x:c>
      <x:c r="E295" s="11" t="str">
        <x:f>TRIM(B295)</x:f>
        <x:v>SSD002</x:v>
      </x:c>
      <x:c r="F295" s="11" t="str">
        <x:f>VLOOKUP(E295,'danh-muc-linh-kien'!$A$2:$D$9,2,FALSE)</x:f>
        <x:v>SSD NVMe 512 GB</x:v>
      </x:c>
      <x:c r="G295" s="12" t="n">
        <x:f>VLOOKUP(E295,'danh-muc-linh-kien'!$A$2:$D$9,3,FALSE)</x:f>
        <x:v>900000</x:v>
      </x:c>
      <x:c r="H295" s="11" t="str">
        <x:f>VLOOKUP(E295,'danh-muc-linh-kien'!$A$2:$D$9,4,FALSE)</x:f>
        <x:v>SSD</x:v>
      </x:c>
      <x:c r="I295" s="11" t="n">
        <x:f>COUNTIFS('danh-muc-linh-kien'!$A$2:$A$9,E295)</x:f>
        <x:v>1</x:v>
      </x:c>
    </x:row>
    <x:row r="296" ht="25" customHeight="1">
      <x:c r="A296" s="9" t="str">
        <x:v>TRAM099</x:v>
      </x:c>
      <x:c r="B296" s="9" t="str">
        <x:v>CPU002</x:v>
      </x:c>
      <x:c r="C296" s="9" t="n">
        <x:v>16</x:v>
      </x:c>
      <x:c r="D296" s="10" t="n">
        <x:v>46296</x:v>
      </x:c>
      <x:c r="E296" s="11" t="str">
        <x:f>TRIM(B296)</x:f>
        <x:v>CPU002</x:v>
      </x:c>
      <x:c r="F296" s="11" t="str">
        <x:f>VLOOKUP(E296,'danh-muc-linh-kien'!$A$2:$D$9,2,FALSE)</x:f>
        <x:v>CPU AMD Ryzen 5 5600</x:v>
      </x:c>
      <x:c r="G296" s="12" t="n">
        <x:f>VLOOKUP(E296,'danh-muc-linh-kien'!$A$2:$D$9,3,FALSE)</x:f>
        <x:v>2800000</x:v>
      </x:c>
      <x:c r="H296" s="11" t="str">
        <x:f>VLOOKUP(E296,'danh-muc-linh-kien'!$A$2:$D$9,4,FALSE)</x:f>
        <x:v>Khong ap dung</x:v>
      </x:c>
      <x:c r="I296" s="11" t="n">
        <x:f>COUNTIFS('danh-muc-linh-kien'!$A$2:$A$9,E296)</x:f>
        <x:v>1</x:v>
      </x:c>
    </x:row>
    <x:row r="297" ht="25" customHeight="1">
      <x:c r="A297" s="9" t="str">
        <x:v>TRAM099</x:v>
      </x:c>
      <x:c r="B297" s="9" t="str">
        <x:v>RAM002</x:v>
      </x:c>
      <x:c r="C297" s="9" t="n">
        <x:v>16</x:v>
      </x:c>
      <x:c r="D297" s="10" t="n">
        <x:v>46296</x:v>
      </x:c>
      <x:c r="E297" s="11" t="str">
        <x:f>TRIM(B297)</x:f>
        <x:v>RAM002</x:v>
      </x:c>
      <x:c r="F297" s="11" t="str">
        <x:f>VLOOKUP(E297,'danh-muc-linh-kien'!$A$2:$D$9,2,FALSE)</x:f>
        <x:v>RAM DDR4 16 GB</x:v>
      </x:c>
      <x:c r="G297" s="12" t="n">
        <x:f>VLOOKUP(E297,'danh-muc-linh-kien'!$A$2:$D$9,3,FALSE)</x:f>
        <x:v>850000</x:v>
      </x:c>
      <x:c r="H297" s="11" t="str">
        <x:f>VLOOKUP(E297,'danh-muc-linh-kien'!$A$2:$D$9,4,FALSE)</x:f>
        <x:v>Khong ap dung</x:v>
      </x:c>
      <x:c r="I297" s="11" t="n">
        <x:f>COUNTIFS('danh-muc-linh-kien'!$A$2:$A$9,E297)</x:f>
        <x:v>1</x:v>
      </x:c>
    </x:row>
    <x:row r="298" ht="25" customHeight="1">
      <x:c r="A298" s="9" t="str">
        <x:v>TRAM099</x:v>
      </x:c>
      <x:c r="B298" s="9" t="str">
        <x:v>HDD001</x:v>
      </x:c>
      <x:c r="C298" s="9" t="n">
        <x:v>16</x:v>
      </x:c>
      <x:c r="D298" s="10" t="n">
        <x:v>46296</x:v>
      </x:c>
      <x:c r="E298" s="11" t="str">
        <x:f>TRIM(B298)</x:f>
        <x:v>HDD001</x:v>
      </x:c>
      <x:c r="F298" s="11" t="str">
        <x:f>VLOOKUP(E298,'danh-muc-linh-kien'!$A$2:$D$9,2,FALSE)</x:f>
        <x:v>HDD SATA 1 TB</x:v>
      </x:c>
      <x:c r="G298" s="12" t="n">
        <x:f>VLOOKUP(E298,'danh-muc-linh-kien'!$A$2:$D$9,3,FALSE)</x:f>
        <x:v>1100000</x:v>
      </x:c>
      <x:c r="H298" s="11" t="str">
        <x:f>VLOOKUP(E298,'danh-muc-linh-kien'!$A$2:$D$9,4,FALSE)</x:f>
        <x:v>HDD</x:v>
      </x:c>
      <x:c r="I298" s="11" t="n">
        <x:f>COUNTIFS('danh-muc-linh-kien'!$A$2:$A$9,E298)</x:f>
        <x:v>1</x:v>
      </x:c>
    </x:row>
    <x:row r="299" ht="25" customHeight="1">
      <x:c r="A299" s="9" t="str">
        <x:v>TRAM100</x:v>
      </x:c>
      <x:c r="B299" s="9" t="str">
        <x:v>  CPU001  </x:v>
      </x:c>
      <x:c r="C299" s="9" t="n">
        <x:v>8</x:v>
      </x:c>
      <x:c r="D299" s="10" t="n">
        <x:v>46296</x:v>
      </x:c>
      <x:c r="E299" s="11" t="str">
        <x:f>TRIM(B299)</x:f>
        <x:v>CPU001</x:v>
      </x:c>
      <x:c r="F299" s="11" t="str">
        <x:f>VLOOKUP(E299,'danh-muc-linh-kien'!$A$2:$D$9,2,FALSE)</x:f>
        <x:v>CPU Intel Core i5 12400</x:v>
      </x:c>
      <x:c r="G299" s="12" t="n">
        <x:f>VLOOKUP(E299,'danh-muc-linh-kien'!$A$2:$D$9,3,FALSE)</x:f>
        <x:v>3500000</x:v>
      </x:c>
      <x:c r="H299" s="11" t="str">
        <x:f>VLOOKUP(E299,'danh-muc-linh-kien'!$A$2:$D$9,4,FALSE)</x:f>
        <x:v>Khong ap dung</x:v>
      </x:c>
      <x:c r="I299" s="11" t="n">
        <x:f>COUNTIFS('danh-muc-linh-kien'!$A$2:$A$9,E299)</x:f>
        <x:v>1</x:v>
      </x:c>
    </x:row>
    <x:row r="300" ht="25" customHeight="1">
      <x:c r="A300" s="9" t="str">
        <x:v>TRAM100</x:v>
      </x:c>
      <x:c r="B300" s="9" t="str">
        <x:v>  RAM001  </x:v>
      </x:c>
      <x:c r="C300" s="9" t="n">
        <x:v>8</x:v>
      </x:c>
      <x:c r="D300" s="10" t="n">
        <x:v>46296</x:v>
      </x:c>
      <x:c r="E300" s="11" t="str">
        <x:f>TRIM(B300)</x:f>
        <x:v>RAM001</x:v>
      </x:c>
      <x:c r="F300" s="11" t="str">
        <x:f>VLOOKUP(E300,'danh-muc-linh-kien'!$A$2:$D$9,2,FALSE)</x:f>
        <x:v>RAM DDR4 8 GB</x:v>
      </x:c>
      <x:c r="G300" s="12" t="n">
        <x:f>VLOOKUP(E300,'danh-muc-linh-kien'!$A$2:$D$9,3,FALSE)</x:f>
        <x:v>450000</x:v>
      </x:c>
      <x:c r="H300" s="11" t="str">
        <x:f>VLOOKUP(E300,'danh-muc-linh-kien'!$A$2:$D$9,4,FALSE)</x:f>
        <x:v>Khong ap dung</x:v>
      </x:c>
      <x:c r="I300" s="11" t="n">
        <x:f>COUNTIFS('danh-muc-linh-kien'!$A$2:$A$9,E300)</x:f>
        <x:v>1</x:v>
      </x:c>
    </x:row>
    <x:row r="301" ht="25" customHeight="1">
      <x:c r="A301" s="9" t="str">
        <x:v>TRAM100</x:v>
      </x:c>
      <x:c r="B301" s="9" t="str">
        <x:v>  HDD002  </x:v>
      </x:c>
      <x:c r="C301" s="9" t="n">
        <x:v>8</x:v>
      </x:c>
      <x:c r="D301" s="10" t="n">
        <x:v>46296</x:v>
      </x:c>
      <x:c r="E301" s="11" t="str">
        <x:f>TRIM(B301)</x:f>
        <x:v>HDD002</x:v>
      </x:c>
      <x:c r="F301" s="11" t="str">
        <x:f>VLOOKUP(E301,'danh-muc-linh-kien'!$A$2:$D$9,2,FALSE)</x:f>
        <x:v>HDD SATA 2 TB</x:v>
      </x:c>
      <x:c r="G301" s="12" t="n">
        <x:f>VLOOKUP(E301,'danh-muc-linh-kien'!$A$2:$D$9,3,FALSE)</x:f>
        <x:v>1600000</x:v>
      </x:c>
      <x:c r="H301" s="11" t="str">
        <x:f>VLOOKUP(E301,'danh-muc-linh-kien'!$A$2:$D$9,4,FALSE)</x:f>
        <x:v>HDD</x:v>
      </x:c>
      <x:c r="I301" s="11" t="n">
        <x:f>COUNTIFS('danh-muc-linh-kien'!$A$2:$A$9,E301)</x:f>
        <x:v>1</x:v>
      </x:c>
    </x:row>
  </x:sheetData>
  <x:conditionalFormatting sqref="I2:I301">
    <x:cfRule type="cellIs" dxfId="0" priority="1" operator="not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623c70e5d28483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24" hidden="0" customWidth="1"/>
  </x:cols>
  <x:sheetData>
    <x:row r="1" ht="42" customHeight="1">
      <x:c r="A1" s="6" t="str">
        <x:v>ma_linh_kien</x:v>
      </x:c>
      <x:c r="B1" s="6" t="str">
        <x:v>ten_thiet_bi</x:v>
      </x:c>
      <x:c r="C1" s="6" t="str">
        <x:v>don_gia</x:v>
      </x:c>
      <x:c r="D1" s="6" t="str">
        <x:v>loai_storage</x:v>
      </x:c>
    </x:row>
    <x:row r="2" ht="25" customHeight="1">
      <x:c r="A2" s="3" t="str">
        <x:v>CPU001</x:v>
      </x:c>
      <x:c r="B2" s="3" t="str">
        <x:v>CPU Intel Core i5 12400</x:v>
      </x:c>
      <x:c r="C2" s="8" t="n">
        <x:v>3500000</x:v>
      </x:c>
      <x:c r="D2" s="3" t="str">
        <x:v>Khong ap dung</x:v>
      </x:c>
    </x:row>
    <x:row r="3" ht="25" customHeight="1">
      <x:c r="A3" s="3" t="str">
        <x:v>CPU002</x:v>
      </x:c>
      <x:c r="B3" s="3" t="str">
        <x:v>CPU AMD Ryzen 5 5600</x:v>
      </x:c>
      <x:c r="C3" s="8" t="n">
        <x:v>2800000</x:v>
      </x:c>
      <x:c r="D3" s="3" t="str">
        <x:v>Khong ap dung</x:v>
      </x:c>
    </x:row>
    <x:row r="4" ht="25" customHeight="1">
      <x:c r="A4" s="3" t="str">
        <x:v>RAM001</x:v>
      </x:c>
      <x:c r="B4" s="3" t="str">
        <x:v>RAM DDR4 8 GB</x:v>
      </x:c>
      <x:c r="C4" s="8" t="n">
        <x:v>450000</x:v>
      </x:c>
      <x:c r="D4" s="3" t="str">
        <x:v>Khong ap dung</x:v>
      </x:c>
    </x:row>
    <x:row r="5" ht="25" customHeight="1">
      <x:c r="A5" s="3" t="str">
        <x:v>RAM002</x:v>
      </x:c>
      <x:c r="B5" s="3" t="str">
        <x:v>RAM DDR4 16 GB</x:v>
      </x:c>
      <x:c r="C5" s="8" t="n">
        <x:v>850000</x:v>
      </x:c>
      <x:c r="D5" s="3" t="str">
        <x:v>Khong ap dung</x:v>
      </x:c>
    </x:row>
    <x:row r="6" ht="25" customHeight="1">
      <x:c r="A6" s="3" t="str">
        <x:v>SSD001</x:v>
      </x:c>
      <x:c r="B6" s="3" t="str">
        <x:v>SSD SATA 256 GB</x:v>
      </x:c>
      <x:c r="C6" s="8" t="n">
        <x:v>500000</x:v>
      </x:c>
      <x:c r="D6" s="3" t="str">
        <x:v>SSD</x:v>
      </x:c>
    </x:row>
    <x:row r="7" ht="25" customHeight="1">
      <x:c r="A7" s="3" t="str">
        <x:v>SSD002</x:v>
      </x:c>
      <x:c r="B7" s="3" t="str">
        <x:v>SSD NVMe 512 GB</x:v>
      </x:c>
      <x:c r="C7" s="8" t="n">
        <x:v>900000</x:v>
      </x:c>
      <x:c r="D7" s="3" t="str">
        <x:v>SSD</x:v>
      </x:c>
    </x:row>
    <x:row r="8" ht="25" customHeight="1">
      <x:c r="A8" s="3" t="str">
        <x:v>HDD001</x:v>
      </x:c>
      <x:c r="B8" s="3" t="str">
        <x:v>HDD SATA 1 TB</x:v>
      </x:c>
      <x:c r="C8" s="8" t="n">
        <x:v>1100000</x:v>
      </x:c>
      <x:c r="D8" s="3" t="str">
        <x:v>HDD</x:v>
      </x:c>
    </x:row>
    <x:row r="9" ht="25" customHeight="1">
      <x:c r="A9" s="3" t="str">
        <x:v>HDD002</x:v>
      </x:c>
      <x:c r="B9" s="3" t="str">
        <x:v>HDD SATA 2 TB</x:v>
      </x:c>
      <x:c r="C9" s="8" t="n">
        <x:v>1600000</x:v>
      </x:c>
      <x:c r="D9" s="3" t="str">
        <x:v>HDD</x:v>
      </x:c>
    </x:row>
  </x:sheetData>
  <x:pageMargins left="0.7" right="0.7" top="0.75" bottom="0.75" header="0.3" footer="0.3"/>
  <x:tableParts count="1">
    <x:tablePart xmlns:r="http://schemas.openxmlformats.org/officeDocument/2006/relationships" r:id="R69df2a0e1b9f44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8" hidden="0" customWidth="1"/>
  </x:cols>
  <x:sheetData>
    <x:row r="1" ht="30" customHeight="1">
      <x:c r="A1" s="14" t="str">
        <x:v>TINH THOI GIAN TAI LOG</x:v>
      </x:c>
      <x:c r="B1" s="14"/>
      <x:c r="C1" s="14"/>
    </x:row>
    <x:row r="2" ht="30" customHeight="1">
      <x:c r="A2" s="14" t="str">
        <x:v>Thong so</x:v>
      </x:c>
      <x:c r="B2" s="14" t="str">
        <x:v>Gia tri</x:v>
      </x:c>
      <x:c r="C2" s="14" t="str">
        <x:v>Don vi va ghi chu</x:v>
      </x:c>
    </x:row>
    <x:row r="3" ht="30" customHeight="1">
      <x:c r="A3" s="2" t="str">
        <x:v>Dung luong log</x:v>
      </x:c>
      <x:c r="B3" s="15" t="n">
        <x:v>500</x:v>
      </x:c>
      <x:c r="C3" s="2" t="str">
        <x:v>MB thap phan</x:v>
      </x:c>
    </x:row>
    <x:row r="4" ht="30" customHeight="1">
      <x:c r="A4" s="2" t="str">
        <x:v>Toc do mang</x:v>
      </x:c>
      <x:c r="B4" s="15" t="n">
        <x:v>100</x:v>
      </x:c>
      <x:c r="C4" s="2" t="str">
        <x:v>Mbps gia dinh</x:v>
      </x:c>
    </x:row>
    <x:row r="5" ht="30" customHeight="1">
      <x:c r="A5" s="2" t="str">
        <x:v>So bit trong mot byte</x:v>
      </x:c>
      <x:c r="B5" s="15" t="n">
        <x:v>8</x:v>
      </x:c>
      <x:c r="C5" s="2" t="str">
        <x:v>bit/byte</x:v>
      </x:c>
    </x:row>
    <x:row r="6" ht="30" customHeight="1">
      <x:c r="A6" s="2" t="str">
        <x:v>Hieu suat</x:v>
      </x:c>
      <x:c r="B6" s="17" t="n">
        <x:v>1</x:v>
      </x:c>
      <x:c r="C6" s="2" t="str">
        <x:v>100% la ly thuyet</x:v>
      </x:c>
    </x:row>
    <x:row r="7" ht="30" customHeight="1">
      <x:c r="A7" s="2" t="str">
        <x:v>Toc do quy doi</x:v>
      </x:c>
      <x:c r="B7" s="16" t="n">
        <x:f>B4/B5</x:f>
        <x:v>12.5</x:v>
      </x:c>
      <x:c r="C7" s="2" t="str">
        <x:v>MB/s</x:v>
      </x:c>
    </x:row>
    <x:row r="8" ht="30" customHeight="1">
      <x:c r="A8" s="2" t="str">
        <x:v>Toc do huu dung</x:v>
      </x:c>
      <x:c r="B8" s="16" t="n">
        <x:f>B7*B6</x:f>
        <x:v>12.5</x:v>
      </x:c>
      <x:c r="C8" s="2" t="str">
        <x:v>MB/s</x:v>
      </x:c>
    </x:row>
    <x:row r="9" ht="30" customHeight="1">
      <x:c r="A9" s="2" t="str">
        <x:v>Thoi gian tai</x:v>
      </x:c>
      <x:c r="B9" s="19" t="n">
        <x:f>B3/B8</x:f>
        <x:v>40</x:v>
      </x:c>
      <x:c r="C9" s="2" t="str">
        <x:v>giay</x:v>
      </x:c>
    </x:row>
    <x:row r="10" ht="30" customHeight="1">
      <x:c r="A10" s="2" t="str">
        <x:v>Thoi gian tai</x:v>
      </x:c>
      <x:c r="B10" s="16" t="n">
        <x:f>B9/60</x:f>
        <x:v>0.6666666666666666</x:v>
      </x:c>
      <x:c r="C10" s="2" t="str">
        <x:v>phut</x:v>
      </x:c>
    </x:row>
    <x:row r="11" ht="30" customHeight="1">
      <x:c r="A11" s="2" t="str">
        <x:v>DU LIEU MO PHONG</x:v>
      </x:c>
      <x:c r="B11" s="2"/>
      <x:c r="C11" s="2" t="str">
        <x:v>Gia linh kien khong phai bao gia</x:v>
      </x:c>
    </x:row>
    <x:row r="12" ht="30" customHeight="1">
      <x:c r="A12" s="2" t="str">
        <x:v>RAM lap theo linh kien</x:v>
      </x:c>
      <x:c r="B12" s="2"/>
      <x:c r="C12" s="2" t="str">
        <x:v>Khong cong cot RAM tren 300 dong</x:v>
      </x:c>
    </x:row>
  </x:sheetData>
  <x:dataValidations count="2">
    <x:dataValidation type="decimal" operator="greaterThan" sqref="B3:B5">
      <x:formula1>0</x:formula1>
    </x:dataValidation>
    <x:dataValidation type="decimal" operator="between" sqref="B6">
      <x:formula1>0.01</x:formula1>
      <x:formula2>1</x:formula2>
    </x:dataValidation>
  </x:dataValidations>
  <x:pageMargins left="0.7" right="0.7" top="0.75" bottom="0.75" header="0.3" footer="0.3"/>
</x:worksheet>
</file>